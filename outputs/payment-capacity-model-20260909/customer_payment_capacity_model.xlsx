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c469125ea7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分模型" sheetId="1" r:id="R1468e839e6ce4925"/>
    <x:sheet xmlns:r="http://schemas.openxmlformats.org/officeDocument/2006/relationships" name="输入" sheetId="2" r:id="Ra48e7f2fc95f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"/>
    <x:numFmt numFmtId="201" formatCode="0%"/>
    <x:numFmt numFmtId="202" formatCode="0.0%"/>
    <x:numFmt numFmtId="203" formatCode="0.00x"/>
    <x:numFmt numFmtId="204" formatCode="#,##0.0;(#,##0.0);-"/>
    <x:numFmt numFmtId="205" formatCode="0.0&quot; 天&quot;"/>
    <x:numFmt numFmtId="206" formatCode="#,##0.00;(#,##0.00);-"/>
    <x:numFmt numFmtId="207" formatCode="yyyy-mm-dd"/>
  </x:numFmts>
  <x:fonts count="7">
    <x:font>
      <x:sz val="11"/>
      <x:name val="Carlito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5">
    <x:border/>
    <x:border>
      <x:bottom style="thin">
        <x:color rgb="FF1F4E78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double">
        <x:color rgb="FF1F4E78"/>
      </x:top>
    </x:border>
    <x:border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 wrapText="0"/>
    </x:xf>
    <x:xf numFmtId="0" fontId="4" fillId="0" borderId="8" xfId="0" applyNumberFormat="1" applyFont="1" applyFill="1" applyBorder="1" applyAlignment="1">
      <x:alignment vertical="center" wrapText="0"/>
    </x:xf>
    <x:xf numFmtId="0" fontId="4" fillId="0" borderId="9" xfId="0" applyNumberFormat="1" applyFont="1" applyFill="1" applyBorder="1" applyAlignment="1">
      <x:alignment vertical="center" wrapText="0"/>
    </x:xf>
    <x:xf numFmtId="200" fontId="3" fillId="2" borderId="3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0" fontId="5" fillId="3" borderId="12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0" fontId="5" fillId="3" borderId="11" xfId="0" applyNumberFormat="1" applyFont="1" applyFill="1" applyBorder="1" applyAlignment="1">
      <x:alignment horizontal="center" vertical="center" wrapText="1"/>
    </x:xf>
    <x:xf numFmtId="0" fontId="5" fillId="3" borderId="1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201" fontId="3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14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201" fontId="1" fillId="0" borderId="8" xfId="0" applyNumberFormat="1" applyFont="1" applyFill="1" applyBorder="1" applyAlignment="1">
      <x:alignment vertical="center"/>
    </x:xf>
    <x:xf numFmtId="201" fontId="1" fillId="0" borderId="14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3" fontId="1" fillId="0" borderId="14" xfId="0" applyNumberFormat="1" applyFont="1" applyFill="1" applyBorder="1" applyAlignment="1">
      <x:alignment vertical="center"/>
    </x:xf>
    <x:xf numFmtId="202" fontId="1" fillId="0" borderId="14" xfId="0" applyNumberFormat="1" applyFont="1" applyFill="1" applyBorder="1" applyAlignment="1">
      <x:alignment vertical="center"/>
    </x:xf>
    <x:xf numFmtId="204" fontId="1" fillId="0" borderId="14" xfId="0" applyNumberFormat="1" applyFont="1" applyFill="1" applyBorder="1" applyAlignment="1">
      <x:alignment vertical="center"/>
    </x:xf>
    <x:xf numFmtId="205" fontId="1" fillId="0" borderId="14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14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center"/>
    </x:xf>
    <x:xf numFmtId="0" fontId="6" fillId="5" borderId="14" xfId="0" applyNumberFormat="1" applyFont="1" applyFill="1" applyBorder="1" applyAlignment="1">
      <x:alignment vertical="center"/>
    </x:xf>
    <x:xf numFmtId="206" fontId="6" fillId="5" borderId="8" xfId="0" applyNumberFormat="1" applyFont="1" applyFill="1" applyBorder="1" applyAlignment="1">
      <x:alignment vertical="center"/>
    </x:xf>
    <x:xf numFmtId="206" fontId="6" fillId="5" borderId="14" xfId="0" applyNumberFormat="1" applyFont="1" applyFill="1" applyBorder="1" applyAlignment="1">
      <x:alignment vertical="center"/>
    </x:xf>
    <x:xf numFmtId="206" fontId="6" fillId="5" borderId="3" xfId="0" applyNumberFormat="1" applyFont="1" applyFill="1" applyBorder="1" applyAlignment="1">
      <x:alignment vertical="center"/>
    </x:xf>
    <x:xf numFmtId="207" fontId="1" fillId="0" borderId="8" xfId="0" applyNumberFormat="1" applyFont="1" applyFill="1" applyBorder="1" applyAlignment="1">
      <x:alignment vertical="center"/>
    </x:xf>
    <x:xf numFmtId="207" fontId="1" fillId="0" borderId="14" xfId="0" applyNumberFormat="1" applyFont="1" applyFill="1" applyBorder="1" applyAlignment="1">
      <x:alignment vertical="center"/>
    </x:xf>
    <x:xf numFmtId="207" fontId="1" fillId="0" borderId="3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6" fontId="6" fillId="5" borderId="8" xfId="0" applyNumberFormat="1" applyFont="1" applyFill="1" applyBorder="1" applyAlignment="1">
      <x:alignment vertical="center" wrapText="1"/>
    </x:xf>
    <x:xf numFmtId="207" fontId="1" fillId="0" borderId="8" xfId="0" applyNumberFormat="1" applyFont="1" applyFill="1" applyBorder="1" applyAlignment="1">
      <x:alignment vertical="center" wrapText="1"/>
    </x:xf>
    <x:xf numFmtId="206" fontId="6" fillId="5" borderId="14" xfId="0" applyNumberFormat="1" applyFont="1" applyFill="1" applyBorder="1" applyAlignment="1">
      <x:alignment vertical="center" wrapText="1"/>
    </x:xf>
    <x:xf numFmtId="207" fontId="1" fillId="0" borderId="14" xfId="0" applyNumberFormat="1" applyFont="1" applyFill="1" applyBorder="1" applyAlignment="1">
      <x:alignment vertical="center" wrapText="1"/>
    </x:xf>
    <x:xf numFmtId="206" fontId="6" fillId="5" borderId="3" xfId="0" applyNumberFormat="1" applyFont="1" applyFill="1" applyBorder="1" applyAlignment="1">
      <x:alignment vertical="center" wrapText="1"/>
    </x:xf>
    <x:xf numFmtId="207" fontId="1" fillId="0" borderId="3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38761D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38761D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38761D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5318eb4b54b7d" /><Relationship Type="http://schemas.openxmlformats.org/officeDocument/2006/relationships/theme" Target="/xl/theme/theme1.xml" Id="R8e8aea71c7654f4e" /><Relationship Type="http://schemas.openxmlformats.org/officeDocument/2006/relationships/sharedStrings" Target="/xl/sharedStrings.xml" Id="R4e9850b142284e11" /><Relationship Type="http://schemas.openxmlformats.org/officeDocument/2006/relationships/worksheet" Target="/xl/worksheets/sheet1.xml" Id="R1468e839e6ce4925" /><Relationship Type="http://schemas.openxmlformats.org/officeDocument/2006/relationships/worksheet" Target="/xl/worksheets/sheet2.xml" Id="Ra48e7f2fc95f46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27" hidden="0" customWidth="1"/>
    <x:col min="4" max="4" width="26" hidden="0" customWidth="1"/>
    <x:col min="5" max="5" width="9" hidden="0" customWidth="1"/>
    <x:col min="6" max="6" width="13" hidden="0" customWidth="1"/>
    <x:col min="7" max="7" width="11" hidden="0" customWidth="1"/>
    <x:col min="8" max="8" width="10" hidden="0" customWidth="1"/>
    <x:col min="9" max="9" width="10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客户付款能力评分模型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1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18" customHeight="1">
      <x:c r="A4" s="19" t="str">
        <x:v>客户</x:v>
      </x:c>
      <x:c r="B4" s="20" t="str">
        <x:f>IF('输入'!D3="","",'输入'!D3)</x:f>
      </x:c>
      <x:c r="C4" s="20"/>
      <x:c r="D4" s="20" t="str">
        <x:v>报告期</x:v>
      </x:c>
      <x:c r="E4" s="20" t="str">
        <x:f>IF('输入'!D4="","",'输入'!D4)</x:f>
      </x:c>
      <x:c r="F4" s="20"/>
      <x:c r="G4" s="20" t="str">
        <x:v>总分</x:v>
      </x:c>
      <x:c r="H4" s="31" t="str">
        <x:f>IF(COUNT(I10:I19)&lt;10,"n.a.",SUM(I10:I19))</x:f>
        <x:v>n.a.</x:v>
      </x:c>
      <x:c r="I4" s="20"/>
      <x:c r="J4" s="20" t="str">
        <x:v>基础评级</x:v>
      </x:c>
      <x:c r="K4" s="20" t="str">
        <x:f>IF(NOT(ISNUMBER(H4)),"待补齐10项",IF(H4&gt;=80,"A — Strong Payment Capacity",IF(H4&gt;=70,"B — Good Payment Capacity",IF(H4&gt;=60,"C — Moderate Risk","D — High Payment Risk"))))</x:f>
        <x:v>待补齐10项</x:v>
      </x:c>
      <x:c r="L4" s="21"/>
    </x:row>
    <x:row r="5" ht="18" customHeight="1">
      <x:c r="A5" s="22" t="str">
        <x:v>数据状态</x:v>
      </x:c>
      <x:c r="B5" s="23" t="str">
        <x:f>IF(COUNT(I10:I19)&lt;10,"缺少 "&amp;(10-COUNT(I10:I19))&amp;" 项指标","10 项完整")</x:f>
        <x:v>缺少 10 项指标</x:v>
      </x:c>
      <x:c r="C5" s="23"/>
      <x:c r="D5" s="23" t="str">
        <x:v>评分档</x:v>
      </x:c>
      <x:c r="E5" s="23" t="str">
        <x:f>'输入'!D5&amp;" / "&amp;'输入'!D6&amp;" / "&amp;'输入'!D7</x:f>
        <x:v>100 / 60 / 0</x:v>
      </x:c>
      <x:c r="F5" s="23"/>
      <x:c r="G5" s="23" t="str">
        <x:v>Red Flag 数</x:v>
      </x:c>
      <x:c r="H5" s="32" t="str">
        <x:f>IF(COUNTIF('输入'!D30:D34,"是")+COUNTIF('输入'!D30:D34,"否")&lt;5,"n.a.",COUNTIF('输入'!D30:D34,"是"))</x:f>
        <x:v>n.a.</x:v>
      </x:c>
      <x:c r="I5" s="23"/>
      <x:c r="J5" s="23" t="str">
        <x:v>最终评级</x:v>
      </x:c>
      <x:c r="K5" s="23" t="str">
        <x:f>IF(NOT(ISNUMBER(H4)),"待补齐10项",IF(COUNTIF('输入'!D30:D34,"是")+COUNTIF('输入'!D30:D34,"否")&lt;5,"待确认Red Flag",IF(H5&gt;0,IF(H4&gt;=80,"B — Good Payment Capacity",IF(H4&gt;=70,"C — Moderate Risk","D — High Payment Risk")),IF(H4&gt;=80,"A — Strong Payment Capacity",IF(H4&gt;=70,"B — Good Payment Capacity",IF(H4&gt;=60,"C — Moderate Risk","D — High Payment Risk"))))))</x:f>
        <x:v>待补齐10项</x:v>
      </x:c>
      <x:c r="L5" s="24"/>
    </x:row>
    <x:row r="6" ht="30" customHeight="1">
      <x:c r="A6" s="28" t="str">
        <x:v>缺失输入不按 0 分。任一 Red Flag 为“是”时，最终评级至少下降一级。</x:v>
      </x:c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30"/>
    </x:row>
    <x:row r="7" ht="18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18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2" customHeight="1">
      <x:c r="A9" s="41" t="str">
        <x:v>序号</x:v>
      </x:c>
      <x:c r="B9" s="42" t="str">
        <x:v>维度</x:v>
      </x:c>
      <x:c r="C9" s="42" t="str">
        <x:v>指标</x:v>
      </x:c>
      <x:c r="D9" s="42" t="str">
        <x:v>公式</x:v>
      </x:c>
      <x:c r="E9" s="42" t="str">
        <x:v>权重</x:v>
      </x:c>
      <x:c r="F9" s="42" t="str">
        <x:v>当前值</x:v>
      </x:c>
      <x:c r="G9" s="42" t="str">
        <x:v>档位</x:v>
      </x:c>
      <x:c r="H9" s="42" t="str">
        <x:v>档位分</x:v>
      </x:c>
      <x:c r="I9" s="42" t="str">
        <x:v>加权分</x:v>
      </x:c>
      <x:c r="J9" s="42" t="str">
        <x:v>好</x:v>
      </x:c>
      <x:c r="K9" s="42" t="str">
        <x:v>一般</x:v>
      </x:c>
      <x:c r="L9" s="43" t="str">
        <x:v>风险</x:v>
      </x:c>
    </x:row>
    <x:row r="10" ht="32" customHeight="1">
      <x:c r="A10" s="48" t="n">
        <x:v>1</x:v>
      </x:c>
      <x:c r="B10" s="11" t="str">
        <x:v>现金</x:v>
      </x:c>
      <x:c r="C10" s="11" t="str">
        <x:v>Cash / Current Liabilities</x:v>
      </x:c>
      <x:c r="D10" s="63" t="str">
        <x:v>现金及现金等价物 ÷ 流动负债</x:v>
      </x:c>
      <x:c r="E10" s="51" t="n">
        <x:v>0.15</x:v>
      </x:c>
      <x:c r="F10" s="54" t="str">
        <x:f>IF(OR(NOT(ISNUMBER('输入'!D11)),NOT(ISNUMBER('输入'!D12)),'输入'!D12=0),"",ROUND('输入'!D11/'输入'!D12,6))</x:f>
      </x:c>
      <x:c r="G10" s="11" t="str">
        <x:f>IF(NOT(ISNUMBER(F10)),"待输入",IF(F10&gt;30%,"好",IF(F10&gt;=15%,"一般","风险")))</x:f>
        <x:v>待输入</x:v>
      </x:c>
      <x:c r="H10" s="60" t="str">
        <x:f>IF(G10="好",'输入'!$D$5,IF(G10="一般",'输入'!$D$6,IF(G10="风险",'输入'!$D$7,"")))</x:f>
      </x:c>
      <x:c r="I10" s="60" t="str">
        <x:f>IF(NOT(ISNUMBER(H10)),"",E10*H10)</x:f>
      </x:c>
      <x:c r="J10" s="48" t="str">
        <x:v>&gt;30%</x:v>
      </x:c>
      <x:c r="K10" s="48" t="str">
        <x:v>15–30%</x:v>
      </x:c>
      <x:c r="L10" s="48" t="str">
        <x:v>&lt;15%</x:v>
      </x:c>
    </x:row>
    <x:row r="11" ht="32" customHeight="1">
      <x:c r="A11" s="49" t="n">
        <x:v>2</x:v>
      </x:c>
      <x:c r="B11" s="47" t="str">
        <x:v>流动性</x:v>
      </x:c>
      <x:c r="C11" s="47" t="str">
        <x:v>Current Ratio</x:v>
      </x:c>
      <x:c r="D11" s="64" t="str">
        <x:v>流动资产 ÷ 流动负债</x:v>
      </x:c>
      <x:c r="E11" s="52" t="n">
        <x:v>0.1</x:v>
      </x:c>
      <x:c r="F11" s="55" t="str">
        <x:f>IF(OR(NOT(ISNUMBER('输入'!D13)),NOT(ISNUMBER('输入'!D12)),'输入'!D12=0),"",ROUND('输入'!D13/'输入'!D12,6))</x:f>
      </x:c>
      <x:c r="G11" s="47" t="str">
        <x:f>IF(NOT(ISNUMBER(F11)),"待输入",IF(F11&gt;1.5,"好",IF(F11&gt;=1,"一般","风险")))</x:f>
        <x:v>待输入</x:v>
      </x:c>
      <x:c r="H11" s="61" t="str">
        <x:f>IF(G11="好",'输入'!$D$5,IF(G11="一般",'输入'!$D$6,IF(G11="风险",'输入'!$D$7,"")))</x:f>
      </x:c>
      <x:c r="I11" s="61" t="str">
        <x:f>IF(NOT(ISNUMBER(H11)),"",E11*H11)</x:f>
      </x:c>
      <x:c r="J11" s="49" t="str">
        <x:v>&gt;1.5x</x:v>
      </x:c>
      <x:c r="K11" s="49" t="str">
        <x:v>1.0–1.5x</x:v>
      </x:c>
      <x:c r="L11" s="49" t="str">
        <x:v>&lt;1.0x</x:v>
      </x:c>
    </x:row>
    <x:row r="12" ht="32" customHeight="1">
      <x:c r="A12" s="49" t="n">
        <x:v>3</x:v>
      </x:c>
      <x:c r="B12" s="47" t="str">
        <x:v>经营现金流</x:v>
      </x:c>
      <x:c r="C12" s="47" t="str">
        <x:v>CFO / Current Liabilities</x:v>
      </x:c>
      <x:c r="D12" s="64" t="str">
        <x:v>经营现金流 ÷ 流动负债</x:v>
      </x:c>
      <x:c r="E12" s="52" t="n">
        <x:v>0.1</x:v>
      </x:c>
      <x:c r="F12" s="56" t="str">
        <x:f>IF(OR(NOT(ISNUMBER('输入'!D14)),NOT(ISNUMBER('输入'!D12)),'输入'!D12=0),"",ROUND('输入'!D14/'输入'!D12,6))</x:f>
      </x:c>
      <x:c r="G12" s="47" t="str">
        <x:f>IF(NOT(ISNUMBER(F12)),"待输入",IF(F12&gt;30%,"好",IF(F12&gt;=10%,"一般","风险")))</x:f>
        <x:v>待输入</x:v>
      </x:c>
      <x:c r="H12" s="61" t="str">
        <x:f>IF(G12="好",'输入'!$D$5,IF(G12="一般",'输入'!$D$6,IF(G12="风险",'输入'!$D$7,"")))</x:f>
      </x:c>
      <x:c r="I12" s="61" t="str">
        <x:f>IF(NOT(ISNUMBER(H12)),"",E12*H12)</x:f>
      </x:c>
      <x:c r="J12" s="49" t="str">
        <x:v>&gt;30%</x:v>
      </x:c>
      <x:c r="K12" s="49" t="str">
        <x:v>10–30%</x:v>
      </x:c>
      <x:c r="L12" s="49" t="str">
        <x:v>&lt;10%</x:v>
      </x:c>
    </x:row>
    <x:row r="13" ht="32" customHeight="1">
      <x:c r="A13" s="49" t="n">
        <x:v>4</x:v>
      </x:c>
      <x:c r="B13" s="47" t="str">
        <x:v>自由现金流</x:v>
      </x:c>
      <x:c r="C13" s="47" t="str">
        <x:v>FCF</x:v>
      </x:c>
      <x:c r="D13" s="64" t="str">
        <x:v>CFO − Capex</x:v>
      </x:c>
      <x:c r="E13" s="52" t="n">
        <x:v>0.15</x:v>
      </x:c>
      <x:c r="F13" s="57" t="str">
        <x:f>IF(OR(NOT(ISNUMBER('输入'!D14)),NOT(ISNUMBER('输入'!D15))),"",'输入'!D14-'输入'!D15)</x:f>
      </x:c>
      <x:c r="G13" s="47" t="str">
        <x:f>IF(NOT(ISNUMBER(F13)),"待输入",IF(ABS(F13)&lt;='输入'!D25,"一般",IF(F13&gt;0,"好","风险")))</x:f>
        <x:v>待输入</x:v>
      </x:c>
      <x:c r="H13" s="61" t="str">
        <x:f>IF(G13="好",'输入'!$D$5,IF(G13="一般",'输入'!$D$6,IF(G13="风险",'输入'!$D$7,"")))</x:f>
      </x:c>
      <x:c r="I13" s="61" t="str">
        <x:f>IF(NOT(ISNUMBER(H13)),"",E13*H13)</x:f>
      </x:c>
      <x:c r="J13" s="49" t="str">
        <x:v>&gt;0</x:v>
      </x:c>
      <x:c r="K13" s="49" t="str">
        <x:v>接近 0</x:v>
      </x:c>
      <x:c r="L13" s="49" t="str">
        <x:v>&lt;0</x:v>
      </x:c>
    </x:row>
    <x:row r="14" ht="32" customHeight="1">
      <x:c r="A14" s="49" t="n">
        <x:v>5</x:v>
      </x:c>
      <x:c r="B14" s="47" t="str">
        <x:v>现金转化</x:v>
      </x:c>
      <x:c r="C14" s="47" t="str">
        <x:v>CFO / EBITDA</x:v>
      </x:c>
      <x:c r="D14" s="64" t="str">
        <x:v>经营现金流 ÷ EBITDA</x:v>
      </x:c>
      <x:c r="E14" s="52" t="n">
        <x:v>0.1</x:v>
      </x:c>
      <x:c r="F14" s="56" t="str">
        <x:f>IF(OR(NOT(ISNUMBER('输入'!D14)),NOT(ISNUMBER('输入'!D16)),'输入'!D16=0),"",ROUND('输入'!D14/'输入'!D16,6))</x:f>
      </x:c>
      <x:c r="G14" s="47" t="str">
        <x:f>IF(NOT(ISNUMBER(F14)),"待输入",IF(F14&gt;70%,"好",IF(F14&gt;=40%,"一般","风险")))</x:f>
        <x:v>待输入</x:v>
      </x:c>
      <x:c r="H14" s="61" t="str">
        <x:f>IF(G14="好",'输入'!$D$5,IF(G14="一般",'输入'!$D$6,IF(G14="风险",'输入'!$D$7,"")))</x:f>
      </x:c>
      <x:c r="I14" s="61" t="str">
        <x:f>IF(NOT(ISNUMBER(H14)),"",E14*H14)</x:f>
      </x:c>
      <x:c r="J14" s="49" t="str">
        <x:v>&gt;70%</x:v>
      </x:c>
      <x:c r="K14" s="49" t="str">
        <x:v>40–70%</x:v>
      </x:c>
      <x:c r="L14" s="49" t="str">
        <x:v>&lt;40%</x:v>
      </x:c>
    </x:row>
    <x:row r="15" ht="32" customHeight="1">
      <x:c r="A15" s="49" t="n">
        <x:v>6</x:v>
      </x:c>
      <x:c r="B15" s="47" t="str">
        <x:v>杠杆</x:v>
      </x:c>
      <x:c r="C15" s="47" t="str">
        <x:v>Net Debt / EBITDA</x:v>
      </x:c>
      <x:c r="D15" s="64" t="str">
        <x:v>（有息负债 − 现金）÷ EBITDA</x:v>
      </x:c>
      <x:c r="E15" s="52" t="n">
        <x:v>0.1</x:v>
      </x:c>
      <x:c r="F15" s="55" t="str">
        <x:f>IF(OR(NOT(ISNUMBER('输入'!D17)),NOT(ISNUMBER('输入'!D11)),NOT(ISNUMBER('输入'!D16)),'输入'!D16=0),"",ROUND(('输入'!D17-'输入'!D11)/'输入'!D16,6))</x:f>
      </x:c>
      <x:c r="G15" s="47" t="str">
        <x:f>IF(NOT(ISNUMBER(F15)),"待输入",IF(F15&lt;2,"好",IF(F15&lt;=3,"一般","风险")))</x:f>
        <x:v>待输入</x:v>
      </x:c>
      <x:c r="H15" s="61" t="str">
        <x:f>IF(G15="好",'输入'!$D$5,IF(G15="一般",'输入'!$D$6,IF(G15="风险",'输入'!$D$7,"")))</x:f>
      </x:c>
      <x:c r="I15" s="61" t="str">
        <x:f>IF(NOT(ISNUMBER(H15)),"",E15*H15)</x:f>
      </x:c>
      <x:c r="J15" s="49" t="str">
        <x:v>&lt;2x</x:v>
      </x:c>
      <x:c r="K15" s="49" t="str">
        <x:v>2–3x</x:v>
      </x:c>
      <x:c r="L15" s="49" t="str">
        <x:v>&gt;3x</x:v>
      </x:c>
    </x:row>
    <x:row r="16" ht="32" customHeight="1">
      <x:c r="A16" s="49" t="n">
        <x:v>7</x:v>
      </x:c>
      <x:c r="B16" s="47" t="str">
        <x:v>偿债</x:v>
      </x:c>
      <x:c r="C16" s="47" t="str">
        <x:v>Interest Coverage</x:v>
      </x:c>
      <x:c r="D16" s="64" t="str">
        <x:v>EBITDA ÷ 利息费用</x:v>
      </x:c>
      <x:c r="E16" s="52" t="n">
        <x:v>0.1</x:v>
      </x:c>
      <x:c r="F16" s="55" t="str">
        <x:f>IF(OR(NOT(ISNUMBER('输入'!D16)),NOT(ISNUMBER('输入'!D18)),'输入'!D18=0),"",ROUND('输入'!D16/'输入'!D18,6))</x:f>
      </x:c>
      <x:c r="G16" s="47" t="str">
        <x:f>IF(NOT(ISNUMBER(F16)),"待输入",IF(F16&gt;5,"好",IF(F16&gt;=2,"一般","风险")))</x:f>
        <x:v>待输入</x:v>
      </x:c>
      <x:c r="H16" s="61" t="str">
        <x:f>IF(G16="好",'输入'!$D$5,IF(G16="一般",'输入'!$D$6,IF(G16="风险",'输入'!$D$7,"")))</x:f>
      </x:c>
      <x:c r="I16" s="61" t="str">
        <x:f>IF(NOT(ISNUMBER(H16)),"",E16*H16)</x:f>
      </x:c>
      <x:c r="J16" s="49" t="str">
        <x:v>&gt;5x</x:v>
      </x:c>
      <x:c r="K16" s="49" t="str">
        <x:v>2–5x</x:v>
      </x:c>
      <x:c r="L16" s="49" t="str">
        <x:v>&lt;2x</x:v>
      </x:c>
    </x:row>
    <x:row r="17" ht="32" customHeight="1">
      <x:c r="A17" s="49" t="n">
        <x:v>8</x:v>
      </x:c>
      <x:c r="B17" s="47" t="str">
        <x:v>回款</x:v>
      </x:c>
      <x:c r="C17" s="47" t="str">
        <x:v>DSO</x:v>
      </x:c>
      <x:c r="D17" s="64" t="str">
        <x:v>应收账款 ÷ Revenue × 365</x:v>
      </x:c>
      <x:c r="E17" s="52" t="n">
        <x:v>0.05</x:v>
      </x:c>
      <x:c r="F17" s="58" t="str">
        <x:f>IF(OR(NOT(ISNUMBER('输入'!D19)),NOT(ISNUMBER('输入'!D20)),'输入'!D20=0),"",ROUND('输入'!D19/'输入'!D20*365,6))</x:f>
      </x:c>
      <x:c r="G17" s="47" t="str">
        <x:f>IF(NOT(ISNUMBER(F17)),"待输入",IF(F17&lt;60,"好",IF(F17&lt;=90,"一般","风险")))</x:f>
        <x:v>待输入</x:v>
      </x:c>
      <x:c r="H17" s="61" t="str">
        <x:f>IF(G17="好",'输入'!$D$5,IF(G17="一般",'输入'!$D$6,IF(G17="风险",'输入'!$D$7,"")))</x:f>
      </x:c>
      <x:c r="I17" s="61" t="str">
        <x:f>IF(NOT(ISNUMBER(H17)),"",E17*H17)</x:f>
      </x:c>
      <x:c r="J17" s="49" t="str">
        <x:v>&lt;60 天</x:v>
      </x:c>
      <x:c r="K17" s="49" t="str">
        <x:v>60–90 天</x:v>
      </x:c>
      <x:c r="L17" s="49" t="str">
        <x:v>&gt;90 天</x:v>
      </x:c>
    </x:row>
    <x:row r="18" ht="32" customHeight="1">
      <x:c r="A18" s="49" t="n">
        <x:v>9</x:v>
      </x:c>
      <x:c r="B18" s="47" t="str">
        <x:v>供应商付款</x:v>
      </x:c>
      <x:c r="C18" s="47" t="str">
        <x:v>Payable Days</x:v>
      </x:c>
      <x:c r="D18" s="64" t="str">
        <x:v>应付账款 ÷ COGS × 365</x:v>
      </x:c>
      <x:c r="E18" s="52" t="n">
        <x:v>0.05</x:v>
      </x:c>
      <x:c r="F18" s="58" t="str">
        <x:f>IF(OR(NOT(ISNUMBER('输入'!D21)),NOT(ISNUMBER('输入'!D22)),'输入'!D22=0),"",ROUND('输入'!D21/'输入'!D22*365,6))</x:f>
      </x:c>
      <x:c r="G18" s="47" t="str">
        <x:f>IF(NOT(ISNUMBER(F18)),"待输入",IF(F18&lt;90,"好",IF(F18&lt;=120,"一般","风险")))</x:f>
        <x:v>待输入</x:v>
      </x:c>
      <x:c r="H18" s="61" t="str">
        <x:f>IF(G18="好",'输入'!$D$5,IF(G18="一般",'输入'!$D$6,IF(G18="风险",'输入'!$D$7,"")))</x:f>
      </x:c>
      <x:c r="I18" s="61" t="str">
        <x:f>IF(NOT(ISNUMBER(H18)),"",E18*H18)</x:f>
      </x:c>
      <x:c r="J18" s="49" t="str">
        <x:v>&lt;90 天</x:v>
      </x:c>
      <x:c r="K18" s="49" t="str">
        <x:v>90–120 天</x:v>
      </x:c>
      <x:c r="L18" s="49" t="str">
        <x:v>&gt;120 天</x:v>
      </x:c>
    </x:row>
    <x:row r="19" ht="32" customHeight="1">
      <x:c r="A19" s="50" t="n">
        <x:v>10</x:v>
      </x:c>
      <x:c r="B19" s="6" t="str">
        <x:v>我方风险敞口</x:v>
      </x:c>
      <x:c r="C19" s="6" t="str">
        <x:v>Our AR / Available Cash</x:v>
      </x:c>
      <x:c r="D19" s="65" t="str">
        <x:v>我方 AR ÷ 可动用现金</x:v>
      </x:c>
      <x:c r="E19" s="53" t="n">
        <x:v>0.1</x:v>
      </x:c>
      <x:c r="F19" s="59" t="str">
        <x:f>IF(OR(NOT(ISNUMBER('输入'!D23)),NOT(ISNUMBER('输入'!D24)),'输入'!D24=0),"",ROUND('输入'!D23/'输入'!D24,6))</x:f>
      </x:c>
      <x:c r="G19" s="6" t="str">
        <x:f>IF(NOT(ISNUMBER(F19)),"待输入",IF(F19&lt;20%,"好",IF(F19&lt;=40%,"一般","风险")))</x:f>
        <x:v>待输入</x:v>
      </x:c>
      <x:c r="H19" s="62" t="str">
        <x:f>IF(G19="好",'输入'!$D$5,IF(G19="一般",'输入'!$D$6,IF(G19="风险",'输入'!$D$7,"")))</x:f>
      </x:c>
      <x:c r="I19" s="62" t="str">
        <x:f>IF(NOT(ISNUMBER(H19)),"",E19*H19)</x:f>
      </x:c>
      <x:c r="J19" s="50" t="str">
        <x:v>&lt;20%</x:v>
      </x:c>
      <x:c r="K19" s="50" t="str">
        <x:v>20–40%</x:v>
      </x:c>
      <x:c r="L19" s="50" t="str">
        <x:v>&gt;40%</x:v>
      </x:c>
    </x:row>
    <x:row r="20" ht="18" customHeight="1">
      <x:c r="A20" s="2"/>
      <x:c r="B20" s="2"/>
      <x:c r="C20" s="2"/>
      <x:c r="D20" s="45" t="str">
        <x:v>权重合计</x:v>
      </x:c>
      <x:c r="E20" s="46" t="n">
        <x:f>SUM(E10:E19)</x:f>
        <x:v>1</x:v>
      </x:c>
      <x:c r="F20" s="45"/>
      <x:c r="G20" s="45" t="str"/>
      <x:c r="H20" s="45" t="str">
        <x:v>总加权分</x:v>
      </x:c>
      <x:c r="I20" s="45" t="str">
        <x:f>H4</x:f>
        <x:v>n.a.</x:v>
      </x:c>
      <x:c r="J20" s="2"/>
      <x:c r="K20" s="2"/>
      <x:c r="L20" s="2"/>
    </x:row>
    <x:row r="21" ht="1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18" customHeight="1">
      <x:c r="A22" s="66" t="str">
        <x:v>最终评级区间</x:v>
      </x:c>
      <x:c r="B22" s="66" t="str">
        <x:v>分数</x:v>
      </x:c>
      <x:c r="C22" s="66" t="str">
        <x:v>英文等级</x:v>
      </x:c>
      <x:c r="D22" s="66" t="str">
        <x:v>Red Flag 处理</x:v>
      </x:c>
      <x:c r="E22" s="2"/>
      <x:c r="F22" s="2"/>
      <x:c r="G22" s="2"/>
      <x:c r="H22" s="2"/>
      <x:c r="I22" s="2"/>
      <x:c r="J22" s="2"/>
      <x:c r="K22" s="2"/>
      <x:c r="L22" s="2"/>
    </x:row>
    <x:row r="23" ht="18" customHeight="1">
      <x:c r="A23" s="11" t="str">
        <x:v>A</x:v>
      </x:c>
      <x:c r="B23" s="11" t="str">
        <x:v>80–100</x:v>
      </x:c>
      <x:c r="C23" s="11" t="str">
        <x:v>Strong Payment Capacity</x:v>
      </x:c>
      <x:c r="D23" s="11" t="str">
        <x:v>有红旗时至少降至 B</x:v>
      </x:c>
      <x:c r="E23" s="2"/>
      <x:c r="F23" s="2"/>
      <x:c r="G23" s="2"/>
      <x:c r="H23" s="2"/>
      <x:c r="I23" s="2"/>
      <x:c r="J23" s="2"/>
      <x:c r="K23" s="2"/>
      <x:c r="L23" s="2"/>
    </x:row>
    <x:row r="24" ht="18" customHeight="1">
      <x:c r="A24" s="47" t="str">
        <x:v>B</x:v>
      </x:c>
      <x:c r="B24" s="47" t="str">
        <x:v>70–79</x:v>
      </x:c>
      <x:c r="C24" s="47" t="str">
        <x:v>Good Payment Capacity</x:v>
      </x:c>
      <x:c r="D24" s="47" t="str">
        <x:v>有红旗时至少降至 C</x:v>
      </x:c>
      <x:c r="E24" s="2"/>
      <x:c r="F24" s="2"/>
      <x:c r="G24" s="2"/>
      <x:c r="H24" s="2"/>
      <x:c r="I24" s="2"/>
      <x:c r="J24" s="2"/>
      <x:c r="K24" s="2"/>
      <x:c r="L24" s="2"/>
    </x:row>
    <x:row r="25" ht="18" customHeight="1">
      <x:c r="A25" s="47" t="str">
        <x:v>C</x:v>
      </x:c>
      <x:c r="B25" s="47" t="str">
        <x:v>60–69</x:v>
      </x:c>
      <x:c r="C25" s="47" t="str">
        <x:v>Moderate Risk</x:v>
      </x:c>
      <x:c r="D25" s="47" t="str">
        <x:v>有红旗时至少降至 D</x:v>
      </x:c>
      <x:c r="E25" s="2"/>
      <x:c r="F25" s="2"/>
      <x:c r="G25" s="2"/>
      <x:c r="H25" s="2"/>
      <x:c r="I25" s="2"/>
      <x:c r="J25" s="2"/>
      <x:c r="K25" s="2"/>
      <x:c r="L25" s="2"/>
    </x:row>
    <x:row r="26" ht="18" customHeight="1">
      <x:c r="A26" s="6" t="str">
        <x:v>D</x:v>
      </x:c>
      <x:c r="B26" s="6" t="str">
        <x:v>&lt;60</x:v>
      </x:c>
      <x:c r="C26" s="6" t="str">
        <x:v>High Payment Risk</x:v>
      </x:c>
      <x:c r="D26" s="6" t="str">
        <x:v>维持 D，必要时追加管理措施</x:v>
      </x:c>
      <x:c r="E26" s="2"/>
      <x:c r="F26" s="2"/>
      <x:c r="G26" s="2"/>
      <x:c r="H26" s="2"/>
      <x:c r="I26" s="2"/>
      <x:c r="J26" s="2"/>
      <x:c r="K26" s="2"/>
      <x:c r="L26" s="2"/>
    </x:row>
    <x:row r="27" ht="1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18" customHeight="1">
      <x:c r="A28" s="69" t="str">
        <x:v>Red Flag</x:v>
      </x:c>
      <x:c r="B28" s="69" t="str">
        <x:v>核验结果</x:v>
      </x:c>
      <x:c r="C28" s="69" t="str">
        <x:v>证据/备注</x:v>
      </x:c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8" customHeight="1">
      <x:c r="A29" s="63" t="str">
        <x:v>CFO 连续为负</x:v>
      </x:c>
      <x:c r="B29" s="63" t="str">
        <x:f>IF('输入'!D30="","",'输入'!D30)</x:f>
      </x:c>
      <x:c r="C29" s="63" t="str">
        <x:f>IF('输入'!E30="","",'输入'!E30)</x:f>
      </x:c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8" customHeight="1">
      <x:c r="A30" s="64" t="str">
        <x:v>FCF 连续为负</x:v>
      </x:c>
      <x:c r="B30" s="64" t="str">
        <x:f>IF('输入'!D31="","",'输入'!D31)</x:f>
      </x:c>
      <x:c r="C30" s="64" t="str">
        <x:f>IF('输入'!E31="","",'输入'!E31)</x:f>
      </x:c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8" customHeight="1">
      <x:c r="A31" s="64" t="str">
        <x:v>DSO 持续上升</x:v>
      </x:c>
      <x:c r="B31" s="64" t="str">
        <x:f>IF('输入'!D32="","",'输入'!D32)</x:f>
      </x:c>
      <x:c r="C31" s="64" t="str">
        <x:f>IF('输入'!E32="","",'输入'!E32)</x:f>
      </x:c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8" customHeight="1">
      <x:c r="A32" s="64" t="str">
        <x:v>大额债务近期到期</x:v>
      </x:c>
      <x:c r="B32" s="64" t="str">
        <x:f>IF('输入'!D33="","",'输入'!D33)</x:f>
      </x:c>
      <x:c r="C32" s="64" t="str">
        <x:f>IF('输入'!E33="","",'输入'!E33)</x:f>
      </x:c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8" customHeight="1">
      <x:c r="A33" s="65" t="str">
        <x:v>审计报告出现持续经营风险</x:v>
      </x:c>
      <x:c r="B33" s="65" t="str">
        <x:f>IF('输入'!D34="","",'输入'!D34)</x:f>
      </x:c>
      <x:c r="C33" s="65" t="str">
        <x:f>IF('输入'!E34="","",'输入'!E34)</x:f>
      </x:c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1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1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</x:sheetData>
  <x:mergeCells>
    <x:mergeCell ref="K4:L4"/>
    <x:mergeCell ref="K5:L5"/>
    <x:mergeCell ref="A6:L6"/>
  </x:mergeCells>
  <x:conditionalFormatting sqref="G10:G19">
    <x:cfRule type="containsText" dxfId="0" priority="1" operator="containsText" text="好"/>
    <x:cfRule type="containsText" dxfId="1" priority="2" operator="containsText" text="一般"/>
    <x:cfRule type="containsText" dxfId="2" priority="3" operator="containsText" text="风险"/>
    <x:cfRule type="containsText" dxfId="3" priority="4" operator="containsText" text="待输入"/>
  </x:conditionalFormatting>
  <x:conditionalFormatting sqref="B29:B33">
    <x:cfRule type="containsText" dxfId="4" priority="5" operator="containsText" text="是"/>
    <x:cfRule type="containsText" dxfId="5" priority="6" operator="containsText" text="否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9" hidden="0" customWidth="1"/>
    <x:col min="4" max="4" width="15" hidden="0" customWidth="1"/>
    <x:col min="5" max="5" width="14" hidden="0" customWidth="1"/>
    <x:col min="6" max="6" width="30" hidden="0" customWidth="1"/>
    <x:col min="7" max="7" width="13" hidden="0" customWidth="1"/>
    <x:col min="8" max="8" width="28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输入与假设</x:v>
      </x:c>
      <x:c r="B2" s="2"/>
      <x:c r="C2" s="2"/>
      <x:c r="D2" s="2"/>
      <x:c r="E2" s="2"/>
      <x:c r="F2" s="2"/>
      <x:c r="G2" s="2"/>
      <x:c r="H2" s="2"/>
    </x:row>
    <x:row r="3" ht="18" customHeight="1">
      <x:c r="A3" s="13" t="str">
        <x:v>客户</x:v>
      </x:c>
      <x:c r="B3" s="14"/>
      <x:c r="C3" s="14"/>
      <x:c r="D3" s="78" t="str"/>
      <x:c r="E3" s="14" t="str">
        <x:v>客户代码</x:v>
      </x:c>
      <x:c r="F3" s="14"/>
      <x:c r="G3" s="14"/>
      <x:c r="H3" s="81" t="str"/>
    </x:row>
    <x:row r="4" ht="18" customHeight="1">
      <x:c r="A4" s="16" t="str">
        <x:v>报告期</x:v>
      </x:c>
      <x:c r="B4" s="17"/>
      <x:c r="C4" s="17"/>
      <x:c r="D4" s="79" t="str"/>
      <x:c r="E4" s="17" t="str">
        <x:v>币种/单位</x:v>
      </x:c>
      <x:c r="F4" s="17"/>
      <x:c r="G4" s="17"/>
      <x:c r="H4" s="82" t="str"/>
    </x:row>
    <x:row r="5" ht="18" customHeight="1">
      <x:c r="A5" s="16" t="str">
        <x:v>好档分</x:v>
      </x:c>
      <x:c r="B5" s="17"/>
      <x:c r="C5" s="17"/>
      <x:c r="D5" s="79" t="n">
        <x:v>100</x:v>
      </x:c>
      <x:c r="E5" s="17"/>
      <x:c r="F5" s="17"/>
      <x:c r="G5" s="17"/>
      <x:c r="H5" s="18"/>
    </x:row>
    <x:row r="6" ht="18" customHeight="1">
      <x:c r="A6" s="16" t="str">
        <x:v>一般档分</x:v>
      </x:c>
      <x:c r="B6" s="17"/>
      <x:c r="C6" s="17"/>
      <x:c r="D6" s="79" t="n">
        <x:v>60</x:v>
      </x:c>
      <x:c r="E6" s="17"/>
      <x:c r="F6" s="17"/>
      <x:c r="G6" s="17"/>
      <x:c r="H6" s="18"/>
    </x:row>
    <x:row r="7" ht="18" customHeight="1">
      <x:c r="A7" s="70" t="str">
        <x:v>风险档分</x:v>
      </x:c>
      <x:c r="B7" s="71"/>
      <x:c r="C7" s="71"/>
      <x:c r="D7" s="80" t="n">
        <x:v>0</x:v>
      </x:c>
      <x:c r="E7" s="71"/>
      <x:c r="F7" s="71"/>
      <x:c r="G7" s="71"/>
      <x:c r="H7" s="72"/>
    </x:row>
    <x:row r="8" ht="18" customHeight="1">
      <x:c r="A8" s="2"/>
      <x:c r="B8" s="2"/>
      <x:c r="C8" s="2"/>
      <x:c r="D8" s="2"/>
      <x:c r="E8" s="2"/>
      <x:c r="F8" s="2"/>
      <x:c r="G8" s="2"/>
      <x:c r="H8" s="2"/>
    </x:row>
    <x:row r="9" ht="18" customHeight="1">
      <x:c r="A9" s="2"/>
      <x:c r="B9" s="2"/>
      <x:c r="C9" s="2"/>
      <x:c r="D9" s="2"/>
      <x:c r="E9" s="2"/>
      <x:c r="F9" s="2"/>
      <x:c r="G9" s="2"/>
      <x:c r="H9" s="2"/>
    </x:row>
    <x:row r="10" ht="30" customHeight="1">
      <x:c r="A10" s="93" t="str">
        <x:v>字段</x:v>
      </x:c>
      <x:c r="B10" s="93" t="str">
        <x:v>口径</x:v>
      </x:c>
      <x:c r="C10" s="93" t="str">
        <x:v>用途</x:v>
      </x:c>
      <x:c r="D10" s="93" t="str">
        <x:v>输入值</x:v>
      </x:c>
      <x:c r="E10" s="93" t="str">
        <x:v>单位</x:v>
      </x:c>
      <x:c r="F10" s="93" t="str">
        <x:v>数据来源</x:v>
      </x:c>
      <x:c r="G10" s="93" t="str">
        <x:v>截止日</x:v>
      </x:c>
      <x:c r="H10" s="93" t="str">
        <x:v>备注</x:v>
      </x:c>
    </x:row>
    <x:row r="11" ht="18" customHeight="1">
      <x:c r="A11" s="63" t="str">
        <x:v>现金及现金等价物</x:v>
      </x:c>
      <x:c r="B11" s="63" t="str">
        <x:v>期末余额</x:v>
      </x:c>
      <x:c r="C11" s="63" t="str">
        <x:v>现金比例、净债务</x:v>
      </x:c>
      <x:c r="D11" s="94"/>
      <x:c r="E11" s="63" t="str">
        <x:v>币种单位</x:v>
      </x:c>
      <x:c r="F11" s="63"/>
      <x:c r="G11" s="95"/>
      <x:c r="H11" s="63"/>
    </x:row>
    <x:row r="12" ht="18" customHeight="1">
      <x:c r="A12" s="64" t="str">
        <x:v>流动负债</x:v>
      </x:c>
      <x:c r="B12" s="64" t="str">
        <x:v>期末余额</x:v>
      </x:c>
      <x:c r="C12" s="64" t="str">
        <x:v>现金比例、流动比率、CFO覆盖</x:v>
      </x:c>
      <x:c r="D12" s="96"/>
      <x:c r="E12" s="64" t="str">
        <x:v>币种单位</x:v>
      </x:c>
      <x:c r="F12" s="64"/>
      <x:c r="G12" s="97"/>
      <x:c r="H12" s="64"/>
    </x:row>
    <x:row r="13" ht="18" customHeight="1">
      <x:c r="A13" s="64" t="str">
        <x:v>流动资产</x:v>
      </x:c>
      <x:c r="B13" s="64" t="str">
        <x:v>期末余额</x:v>
      </x:c>
      <x:c r="C13" s="64" t="str">
        <x:v>Current Ratio</x:v>
      </x:c>
      <x:c r="D13" s="96"/>
      <x:c r="E13" s="64" t="str">
        <x:v>币种单位</x:v>
      </x:c>
      <x:c r="F13" s="64"/>
      <x:c r="G13" s="97"/>
      <x:c r="H13" s="64"/>
    </x:row>
    <x:row r="14" ht="18" customHeight="1">
      <x:c r="A14" s="64" t="str">
        <x:v>经营现金流 CFO</x:v>
      </x:c>
      <x:c r="B14" s="64" t="str">
        <x:v>期间累计</x:v>
      </x:c>
      <x:c r="C14" s="64" t="str">
        <x:v>CFO覆盖、FCF、现金转化</x:v>
      </x:c>
      <x:c r="D14" s="96"/>
      <x:c r="E14" s="64" t="str">
        <x:v>币种单位</x:v>
      </x:c>
      <x:c r="F14" s="64"/>
      <x:c r="G14" s="97"/>
      <x:c r="H14" s="64"/>
    </x:row>
    <x:row r="15" ht="18" customHeight="1">
      <x:c r="A15" s="64" t="str">
        <x:v>资本开支 Capex</x:v>
      </x:c>
      <x:c r="B15" s="64" t="str">
        <x:v>期间累计现金口径</x:v>
      </x:c>
      <x:c r="C15" s="64" t="str">
        <x:v>FCF</x:v>
      </x:c>
      <x:c r="D15" s="96"/>
      <x:c r="E15" s="64" t="str">
        <x:v>币种单位</x:v>
      </x:c>
      <x:c r="F15" s="64"/>
      <x:c r="G15" s="97"/>
      <x:c r="H15" s="64"/>
    </x:row>
    <x:row r="16" ht="18" customHeight="1">
      <x:c r="A16" s="64" t="str">
        <x:v>EBITDA</x:v>
      </x:c>
      <x:c r="B16" s="64" t="str">
        <x:v>与 CFO 同期</x:v>
      </x:c>
      <x:c r="C16" s="64" t="str">
        <x:v>现金转化、杠杆、利息覆盖</x:v>
      </x:c>
      <x:c r="D16" s="96"/>
      <x:c r="E16" s="64" t="str">
        <x:v>币种单位</x:v>
      </x:c>
      <x:c r="F16" s="64"/>
      <x:c r="G16" s="97"/>
      <x:c r="H16" s="64"/>
    </x:row>
    <x:row r="17" ht="18" customHeight="1">
      <x:c r="A17" s="64" t="str">
        <x:v>有息负债</x:v>
      </x:c>
      <x:c r="B17" s="64" t="str">
        <x:v>期末总额</x:v>
      </x:c>
      <x:c r="C17" s="64" t="str">
        <x:v>Net Debt / EBITDA</x:v>
      </x:c>
      <x:c r="D17" s="96"/>
      <x:c r="E17" s="64" t="str">
        <x:v>币种单位</x:v>
      </x:c>
      <x:c r="F17" s="64"/>
      <x:c r="G17" s="97"/>
      <x:c r="H17" s="64"/>
    </x:row>
    <x:row r="18" ht="18" customHeight="1">
      <x:c r="A18" s="64" t="str">
        <x:v>利息费用</x:v>
      </x:c>
      <x:c r="B18" s="64" t="str">
        <x:v>与 EBITDA 同期</x:v>
      </x:c>
      <x:c r="C18" s="64" t="str">
        <x:v>Interest Coverage</x:v>
      </x:c>
      <x:c r="D18" s="96"/>
      <x:c r="E18" s="64" t="str">
        <x:v>币种单位</x:v>
      </x:c>
      <x:c r="F18" s="64"/>
      <x:c r="G18" s="97"/>
      <x:c r="H18" s="64"/>
    </x:row>
    <x:row r="19" ht="18" customHeight="1">
      <x:c r="A19" s="64" t="str">
        <x:v>应收账款 AR</x:v>
      </x:c>
      <x:c r="B19" s="64" t="str">
        <x:v>期末或期间平均</x:v>
      </x:c>
      <x:c r="C19" s="64" t="str">
        <x:v>DSO</x:v>
      </x:c>
      <x:c r="D19" s="96"/>
      <x:c r="E19" s="64" t="str">
        <x:v>币种单位</x:v>
      </x:c>
      <x:c r="F19" s="64"/>
      <x:c r="G19" s="97"/>
      <x:c r="H19" s="64"/>
    </x:row>
    <x:row r="20" ht="18" customHeight="1">
      <x:c r="A20" s="64" t="str">
        <x:v>Revenue</x:v>
      </x:c>
      <x:c r="B20" s="64" t="str">
        <x:v>期间累计</x:v>
      </x:c>
      <x:c r="C20" s="64" t="str">
        <x:v>DSO</x:v>
      </x:c>
      <x:c r="D20" s="96"/>
      <x:c r="E20" s="64" t="str">
        <x:v>币种单位</x:v>
      </x:c>
      <x:c r="F20" s="64"/>
      <x:c r="G20" s="97"/>
      <x:c r="H20" s="64"/>
    </x:row>
    <x:row r="21" ht="18" customHeight="1">
      <x:c r="A21" s="64" t="str">
        <x:v>应付账款 AP</x:v>
      </x:c>
      <x:c r="B21" s="64" t="str">
        <x:v>期末或期间平均</x:v>
      </x:c>
      <x:c r="C21" s="64" t="str">
        <x:v>Payable Days</x:v>
      </x:c>
      <x:c r="D21" s="96"/>
      <x:c r="E21" s="64" t="str">
        <x:v>币种单位</x:v>
      </x:c>
      <x:c r="F21" s="64"/>
      <x:c r="G21" s="97"/>
      <x:c r="H21" s="64"/>
    </x:row>
    <x:row r="22" ht="18" customHeight="1">
      <x:c r="A22" s="64" t="str">
        <x:v>COGS</x:v>
      </x:c>
      <x:c r="B22" s="64" t="str">
        <x:v>期间累计</x:v>
      </x:c>
      <x:c r="C22" s="64" t="str">
        <x:v>Payable Days</x:v>
      </x:c>
      <x:c r="D22" s="96"/>
      <x:c r="E22" s="64" t="str">
        <x:v>币种单位</x:v>
      </x:c>
      <x:c r="F22" s="64"/>
      <x:c r="G22" s="97"/>
      <x:c r="H22" s="64"/>
    </x:row>
    <x:row r="23" ht="18" customHeight="1">
      <x:c r="A23" s="64" t="str">
        <x:v>我方 AR</x:v>
      </x:c>
      <x:c r="B23" s="64" t="str">
        <x:v>对该客户的期末应收</x:v>
      </x:c>
      <x:c r="C23" s="64" t="str">
        <x:v>我方风险敞口</x:v>
      </x:c>
      <x:c r="D23" s="96"/>
      <x:c r="E23" s="64" t="str">
        <x:v>币种单位</x:v>
      </x:c>
      <x:c r="F23" s="64"/>
      <x:c r="G23" s="97"/>
      <x:c r="H23" s="64"/>
    </x:row>
    <x:row r="24" ht="18" customHeight="1">
      <x:c r="A24" s="64" t="str">
        <x:v>可动用现金</x:v>
      </x:c>
      <x:c r="B24" s="64" t="str">
        <x:v>剔除受限现金</x:v>
      </x:c>
      <x:c r="C24" s="64" t="str">
        <x:v>我方风险敞口</x:v>
      </x:c>
      <x:c r="D24" s="96"/>
      <x:c r="E24" s="64" t="str">
        <x:v>币种单位</x:v>
      </x:c>
      <x:c r="F24" s="64"/>
      <x:c r="G24" s="97"/>
      <x:c r="H24" s="64"/>
    </x:row>
    <x:row r="25" ht="18" customHeight="1">
      <x:c r="A25" s="65" t="str">
        <x:v>FCF 接近零阈值</x:v>
      </x:c>
      <x:c r="B25" s="65" t="str">
        <x:v>绝对金额</x:v>
      </x:c>
      <x:c r="C25" s="65" t="str">
        <x:v>定义一般档的 ±区间</x:v>
      </x:c>
      <x:c r="D25" s="98" t="n">
        <x:v>0</x:v>
      </x:c>
      <x:c r="E25" s="65" t="str">
        <x:v>币种单位</x:v>
      </x:c>
      <x:c r="F25" s="65"/>
      <x:c r="G25" s="99"/>
      <x:c r="H25" s="65"/>
    </x:row>
    <x:row r="26" ht="18" customHeight="1">
      <x:c r="A26" s="100"/>
      <x:c r="B26" s="100"/>
      <x:c r="C26" s="100"/>
      <x:c r="D26" s="100"/>
      <x:c r="E26" s="100"/>
      <x:c r="F26" s="100"/>
      <x:c r="G26" s="100"/>
      <x:c r="H26" s="100"/>
    </x:row>
    <x:row r="27" ht="18" customHeight="1">
      <x:c r="A27" s="100"/>
      <x:c r="B27" s="100"/>
      <x:c r="C27" s="100"/>
      <x:c r="D27" s="100"/>
      <x:c r="E27" s="100"/>
      <x:c r="F27" s="100"/>
      <x:c r="G27" s="100"/>
      <x:c r="H27" s="100"/>
    </x:row>
    <x:row r="28" ht="18" customHeight="1">
      <x:c r="A28" s="100"/>
      <x:c r="B28" s="100"/>
      <x:c r="C28" s="100"/>
      <x:c r="D28" s="100"/>
      <x:c r="E28" s="100"/>
      <x:c r="F28" s="100"/>
      <x:c r="G28" s="100"/>
      <x:c r="H28" s="100"/>
    </x:row>
    <x:row r="29" ht="32" customHeight="1">
      <x:c r="A29" s="92" t="str">
        <x:v>Red Flag</x:v>
      </x:c>
      <x:c r="B29" s="92" t="str">
        <x:v>判断口径</x:v>
      </x:c>
      <x:c r="C29" s="92" t="str">
        <x:v>核验要求</x:v>
      </x:c>
      <x:c r="D29" s="92" t="str">
        <x:v>是/否</x:v>
      </x:c>
      <x:c r="E29" s="92" t="str">
        <x:v>证据/备注</x:v>
      </x:c>
      <x:c r="F29" s="100"/>
      <x:c r="G29" s="100"/>
      <x:c r="H29" s="100"/>
    </x:row>
    <x:row r="30" ht="18" customHeight="1">
      <x:c r="A30" s="63" t="str">
        <x:v>CFO 连续为负</x:v>
      </x:c>
      <x:c r="B30" s="63" t="str">
        <x:v>至少连续两个可比报告期</x:v>
      </x:c>
      <x:c r="C30" s="63" t="str">
        <x:v>核对现金流量表</x:v>
      </x:c>
      <x:c r="D30" s="101"/>
      <x:c r="E30" s="63"/>
      <x:c r="F30" s="100"/>
      <x:c r="G30" s="100"/>
      <x:c r="H30" s="100"/>
    </x:row>
    <x:row r="31" ht="18" customHeight="1">
      <x:c r="A31" s="64" t="str">
        <x:v>FCF 连续为负</x:v>
      </x:c>
      <x:c r="B31" s="64" t="str">
        <x:v>至少连续两个可比报告期</x:v>
      </x:c>
      <x:c r="C31" s="64" t="str">
        <x:v>CFO − Capex，同一口径</x:v>
      </x:c>
      <x:c r="D31" s="102"/>
      <x:c r="E31" s="64"/>
      <x:c r="F31" s="100"/>
      <x:c r="G31" s="100"/>
      <x:c r="H31" s="100"/>
    </x:row>
    <x:row r="32" ht="18" customHeight="1">
      <x:c r="A32" s="64" t="str">
        <x:v>DSO 持续上升</x:v>
      </x:c>
      <x:c r="B32" s="64" t="str">
        <x:v>至少连续三个可比期</x:v>
      </x:c>
      <x:c r="C32" s="64" t="str">
        <x:v>排除季节性与口径变化</x:v>
      </x:c>
      <x:c r="D32" s="102"/>
      <x:c r="E32" s="64"/>
      <x:c r="F32" s="100"/>
      <x:c r="G32" s="100"/>
      <x:c r="H32" s="100"/>
    </x:row>
    <x:row r="33" ht="18" customHeight="1">
      <x:c r="A33" s="64" t="str">
        <x:v>大额债务近期到期</x:v>
      </x:c>
      <x:c r="B33" s="64" t="str">
        <x:v>近期到期额对现金形成重大压力</x:v>
      </x:c>
      <x:c r="C33" s="64" t="str">
        <x:v>核对债务到期表和再融资</x:v>
      </x:c>
      <x:c r="D33" s="102"/>
      <x:c r="E33" s="64"/>
      <x:c r="F33" s="100"/>
      <x:c r="G33" s="100"/>
      <x:c r="H33" s="100"/>
    </x:row>
    <x:row r="34" ht="18" customHeight="1">
      <x:c r="A34" s="65" t="str">
        <x:v>审计报告出现持续经营风险</x:v>
      </x:c>
      <x:c r="B34" s="65" t="str">
        <x:v>审计意见或重大不确定性</x:v>
      </x:c>
      <x:c r="C34" s="65" t="str">
        <x:v>核对最新审计报告原文</x:v>
      </x:c>
      <x:c r="D34" s="103"/>
      <x:c r="E34" s="65"/>
      <x:c r="F34" s="100"/>
      <x:c r="G34" s="100"/>
      <x:c r="H34" s="100"/>
    </x:row>
    <x:row r="35" ht="18" customHeight="1">
      <x:c r="A35" s="2"/>
      <x:c r="B35" s="2"/>
      <x:c r="C35" s="2"/>
      <x:c r="D35" s="2"/>
      <x:c r="E35" s="2"/>
      <x:c r="F35" s="2"/>
      <x:c r="G35" s="2"/>
      <x:c r="H35" s="2"/>
    </x:row>
  </x:sheetData>
  <x:conditionalFormatting sqref="D30:D34">
    <x:cfRule type="containsText" dxfId="6" priority="1" operator="containsText" text="是"/>
    <x:cfRule type="containsText" dxfId="7" priority="2" operator="containsText" text="否"/>
  </x:conditionalFormatting>
  <x:dataValidations count="1">
    <x:dataValidation type="list" sqref="D30:D34">
      <x:formula1>"是,否"</x:formula1>
    </x:dataValidation>
  </x:dataValidations>
  <x:pageMargins left="0.7" right="0.7" top="0.75" bottom="0.75" header="0.3" footer="0.3"/>
</x:worksheet>
</file>