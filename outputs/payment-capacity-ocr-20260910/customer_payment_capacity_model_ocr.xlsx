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0f2fe3393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分模型" sheetId="1" r:id="Radf615f7c54241fb"/>
    <x:sheet xmlns:r="http://schemas.openxmlformats.org/officeDocument/2006/relationships" name="输入" sheetId="2" r:id="R8db3431b244546ed"/>
    <x:sheet xmlns:r="http://schemas.openxmlformats.org/officeDocument/2006/relationships" name="OCR导入" sheetId="3" r:id="R88c1e622bf7140f4"/>
    <x:sheet xmlns:r="http://schemas.openxmlformats.org/officeDocument/2006/relationships" name="OCR核验" sheetId="4" r:id="R476bb8ad335d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"/>
    <x:numFmt numFmtId="201" formatCode="0%"/>
    <x:numFmt numFmtId="202" formatCode="0.0%"/>
    <x:numFmt numFmtId="203" formatCode="0.00x"/>
    <x:numFmt numFmtId="204" formatCode="#,##0.0;(#,##0.0);-"/>
    <x:numFmt numFmtId="205" formatCode="0.0&quot; 天&quot;"/>
    <x:numFmt numFmtId="206" formatCode="#,##0.00;(#,##0.00);-"/>
    <x:numFmt numFmtId="207" formatCode="yyyy-mm-dd"/>
  </x:numFmts>
  <x:fonts count="7">
    <x:font>
      <x:sz val="11"/>
      <x:name val="Carlito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0"/>
      <x:color rgb="FF17365D"/>
      <x:name val="Arial"/>
    </x:font>
    <x:font>
      <x:i/>
      <x:sz val="9"/>
      <x:color rgb="FF666666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15">
    <x:border/>
    <x:border>
      <x:bottom style="thin">
        <x:color rgb="FF1F4E78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double">
        <x:color rgb="FF1F4E78"/>
      </x:top>
    </x:border>
    <x:border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 wrapText="0"/>
    </x:xf>
    <x:xf numFmtId="0" fontId="4" fillId="0" borderId="8" xfId="0" applyNumberFormat="1" applyFont="1" applyFill="1" applyBorder="1" applyAlignment="1">
      <x:alignment vertical="center" wrapText="0"/>
    </x:xf>
    <x:xf numFmtId="0" fontId="4" fillId="0" borderId="9" xfId="0" applyNumberFormat="1" applyFont="1" applyFill="1" applyBorder="1" applyAlignment="1">
      <x:alignment vertical="center" wrapText="0"/>
    </x:xf>
    <x:xf numFmtId="200" fontId="3" fillId="2" borderId="3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5" fillId="3" borderId="12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201" fontId="3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 applyAlignment="1">
      <x:alignment horizontal="center" vertical="center"/>
    </x:xf>
    <x:xf numFmtId="201" fontId="1" fillId="0" borderId="8" xfId="0" applyNumberFormat="1" applyFont="1" applyFill="1" applyBorder="1" applyAlignment="1">
      <x:alignment vertical="center"/>
    </x:xf>
    <x:xf numFmtId="201" fontId="1" fillId="0" borderId="14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14" xfId="0" applyNumberFormat="1" applyFont="1" applyFill="1" applyBorder="1" applyAlignment="1">
      <x:alignment vertical="center"/>
    </x:xf>
    <x:xf numFmtId="202" fontId="1" fillId="0" borderId="14" xfId="0" applyNumberFormat="1" applyFont="1" applyFill="1" applyBorder="1" applyAlignment="1">
      <x:alignment vertical="center"/>
    </x:xf>
    <x:xf numFmtId="204" fontId="1" fillId="0" borderId="14" xfId="0" applyNumberFormat="1" applyFont="1" applyFill="1" applyBorder="1" applyAlignment="1">
      <x:alignment vertical="center"/>
    </x:xf>
    <x:xf numFmtId="205" fontId="1" fillId="0" borderId="14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0" fontId="6" fillId="5" borderId="14" xfId="0" applyNumberFormat="1" applyFont="1" applyFill="1" applyBorder="1" applyAlignment="1">
      <x:alignment vertical="center"/>
    </x:xf>
    <x:xf numFmtId="206" fontId="6" fillId="5" borderId="8" xfId="0" applyNumberFormat="1" applyFont="1" applyFill="1" applyBorder="1" applyAlignment="1">
      <x:alignment vertical="center"/>
    </x:xf>
    <x:xf numFmtId="206" fontId="6" fillId="5" borderId="14" xfId="0" applyNumberFormat="1" applyFont="1" applyFill="1" applyBorder="1" applyAlignment="1">
      <x:alignment vertical="center"/>
    </x:xf>
    <x:xf numFmtId="206" fontId="6" fillId="5" borderId="3" xfId="0" applyNumberFormat="1" applyFont="1" applyFill="1" applyBorder="1" applyAlignment="1">
      <x:alignment vertical="center"/>
    </x:xf>
    <x:xf numFmtId="207" fontId="1" fillId="0" borderId="8" xfId="0" applyNumberFormat="1" applyFont="1" applyFill="1" applyBorder="1" applyAlignment="1">
      <x:alignment vertical="center"/>
    </x:xf>
    <x:xf numFmtId="207" fontId="1" fillId="0" borderId="14" xfId="0" applyNumberFormat="1" applyFont="1" applyFill="1" applyBorder="1" applyAlignment="1">
      <x:alignment vertical="center"/>
    </x:xf>
    <x:xf numFmtId="207" fontId="1" fillId="0" borderId="3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6" fontId="6" fillId="5" borderId="8" xfId="0" applyNumberFormat="1" applyFont="1" applyFill="1" applyBorder="1" applyAlignment="1">
      <x:alignment vertical="center" wrapText="1"/>
    </x:xf>
    <x:xf numFmtId="207" fontId="1" fillId="0" borderId="8" xfId="0" applyNumberFormat="1" applyFont="1" applyFill="1" applyBorder="1" applyAlignment="1">
      <x:alignment vertical="center" wrapText="1"/>
    </x:xf>
    <x:xf numFmtId="206" fontId="6" fillId="5" borderId="14" xfId="0" applyNumberFormat="1" applyFont="1" applyFill="1" applyBorder="1" applyAlignment="1">
      <x:alignment vertical="center" wrapText="1"/>
    </x:xf>
    <x:xf numFmtId="207" fontId="1" fillId="0" borderId="14" xfId="0" applyNumberFormat="1" applyFont="1" applyFill="1" applyBorder="1" applyAlignment="1">
      <x:alignment vertical="center" wrapText="1"/>
    </x:xf>
    <x:xf numFmtId="206" fontId="6" fillId="5" borderId="3" xfId="0" applyNumberFormat="1" applyFont="1" applyFill="1" applyBorder="1" applyAlignment="1">
      <x:alignment vertical="center" wrapText="1"/>
    </x:xf>
    <x:xf numFmtId="207" fontId="1" fillId="0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6" fontId="1" fillId="0" borderId="8" xfId="0" applyNumberFormat="1" applyFont="1" applyFill="1" applyBorder="1" applyAlignment="1">
      <x:alignment vertical="center"/>
    </x:xf>
    <x:xf numFmtId="206" fontId="1" fillId="0" borderId="14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6" fontId="1" fillId="0" borderId="8" xfId="0" applyNumberFormat="1" applyFont="1" applyFill="1" applyBorder="1" applyAlignment="1">
      <x:alignment vertical="center" wrapText="1"/>
    </x:xf>
    <x:xf numFmtId="206" fontId="1" fillId="0" borderId="14" xfId="0" applyNumberFormat="1" applyFont="1" applyFill="1" applyBorder="1" applyAlignment="1">
      <x:alignment vertical="center" wrapText="1"/>
    </x:xf>
    <x:xf numFmtId="206" fontId="1" fillId="0" borderId="3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1" fillId="8" borderId="6" xfId="0" applyNumberFormat="1" applyFont="1" applyFill="1" applyBorder="1" applyAlignment="1">
      <x:alignment vertical="center"/>
    </x:xf>
    <x:xf numFmtId="0" fontId="1" fillId="9" borderId="6" xfId="0" applyNumberFormat="1" applyFont="1" applyFill="1" applyBorder="1" applyAlignment="1">
      <x:alignment vertical="center"/>
    </x:xf>
    <x:xf numFmtId="0" fontId="6" fillId="9" borderId="6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206" fontId="6" fillId="11" borderId="8" xfId="0" applyNumberFormat="1" applyFont="1" applyFill="1" applyBorder="1" applyAlignment="1">
      <x:alignment vertical="center" wrapText="1"/>
    </x:xf>
    <x:xf numFmtId="206" fontId="6" fillId="11" borderId="14" xfId="0" applyNumberFormat="1" applyFont="1" applyFill="1" applyBorder="1" applyAlignment="1">
      <x:alignment vertical="center" wrapText="1"/>
    </x:xf>
    <x:xf numFmtId="206" fontId="1" fillId="11" borderId="8" xfId="0" applyNumberFormat="1" applyFont="1" applyFill="1" applyBorder="1" applyAlignment="1">
      <x:alignment vertical="center" wrapText="1"/>
    </x:xf>
    <x:xf numFmtId="206" fontId="1" fillId="11" borderId="14" xfId="0" applyNumberFormat="1" applyFont="1" applyFill="1" applyBorder="1" applyAlignment="1">
      <x:alignment vertical="center" wrapText="1"/>
    </x:xf>
    <x:xf numFmtId="206" fontId="0" fillId="10" borderId="0" xfId="0" applyNumberFormat="1" applyFont="1" applyFill="1" applyBorder="1"/>
    <x:xf numFmtId="206" fontId="6" fillId="9" borderId="0" xfId="0" applyNumberFormat="1" applyFont="1" applyFill="1" applyBorder="1"/>
    <x:xf numFmtId="0" fontId="5" fillId="6" borderId="8" xfId="0" applyNumberFormat="1" applyFont="1" applyFill="1" applyBorder="1" applyAlignment="1">
      <x:alignment horizontal="center" vertical="center" wrapText="1"/>
    </x:xf>
    <x:xf numFmtId="206" fontId="6" fillId="9" borderId="14" xfId="0" applyNumberFormat="1" applyFont="1" applyFill="1" applyBorder="1"/>
    <x:xf numFmtId="206" fontId="0" fillId="10" borderId="14" xfId="0" applyNumberFormat="1" applyFont="1" applyFill="1" applyBorder="1"/>
    <x:xf numFmtId="0" fontId="0" fillId="0" borderId="14" xfId="0" applyNumberFormat="1" applyFont="1" applyFill="1" applyBorder="1"/>
    <x:xf numFmtId="206" fontId="6" fillId="9" borderId="3" xfId="0" applyNumberFormat="1" applyFont="1" applyFill="1" applyBorder="1"/>
    <x:xf numFmtId="206" fontId="0" fillId="10" borderId="3" xfId="0" applyNumberFormat="1" applyFont="1" applyFill="1" applyBorder="1"/>
    <x:xf numFmtId="0" fontId="0" fillId="0" borderId="3" xfId="0" applyNumberFormat="1" applyFont="1" applyFill="1" applyBorder="1"/>
    <x:xf numFmtId="206" fontId="6" fillId="9" borderId="14" xfId="0" applyNumberFormat="1" applyFont="1" applyFill="1" applyBorder="1" applyAlignment="1">
      <x:alignment wrapText="1"/>
    </x:xf>
    <x:xf numFmtId="206" fontId="0" fillId="1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6" fontId="6" fillId="9" borderId="3" xfId="0" applyNumberFormat="1" applyFont="1" applyFill="1" applyBorder="1" applyAlignment="1">
      <x:alignment wrapText="1"/>
    </x:xf>
    <x:xf numFmtId="206" fontId="0" fillId="1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b/>
        <x:color rgb="FF38761D"/>
      </x:font>
      <x:fill>
        <x:patternFill>
          <x:bgColor rgb="FFE2F0D9"/>
        </x:patternFill>
      </x:fill>
    </x:dxf>
    <x:dxf>
      <x:font>
        <x:b/>
        <x:color rgb="FF9C5700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8761D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38761D"/>
      </x:font>
      <x:fill>
        <x:patternFill>
          <x:bgColor rgb="FFE2F0D9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7a0dedce5446c" /><Relationship Type="http://schemas.openxmlformats.org/officeDocument/2006/relationships/theme" Target="/xl/theme/theme1.xml" Id="R10273a30fdc54cbe" /><Relationship Type="http://schemas.openxmlformats.org/officeDocument/2006/relationships/sharedStrings" Target="/xl/sharedStrings.xml" Id="Rf74279cdb74f4d84" /><Relationship Type="http://schemas.openxmlformats.org/officeDocument/2006/relationships/worksheet" Target="/xl/worksheets/sheet1.xml" Id="Radf615f7c54241fb" /><Relationship Type="http://schemas.openxmlformats.org/officeDocument/2006/relationships/worksheet" Target="/xl/worksheets/sheet2.xml" Id="R8db3431b244546ed" /><Relationship Type="http://schemas.openxmlformats.org/officeDocument/2006/relationships/worksheet" Target="/xl/worksheets/sheet3.xml" Id="R88c1e622bf7140f4" /><Relationship Type="http://schemas.openxmlformats.org/officeDocument/2006/relationships/worksheet" Target="/xl/worksheets/sheet4.xml" Id="R476bb8ad335d46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27" hidden="0" customWidth="1"/>
    <x:col min="4" max="4" width="26" hidden="0" customWidth="1"/>
    <x:col min="5" max="5" width="9" hidden="0" customWidth="1"/>
    <x:col min="6" max="6" width="13" hidden="0" customWidth="1"/>
    <x:col min="7" max="7" width="11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客户付款能力评分模型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18" customHeight="1">
      <x:c r="A4" s="19" t="str">
        <x:v>客户</x:v>
      </x:c>
      <x:c r="B4" s="20" t="str">
        <x:f>IF('输入'!D3="","",'输入'!D3)</x:f>
        <x:v>Asiacell</x:v>
      </x:c>
      <x:c r="C4" s="20"/>
      <x:c r="D4" s="20" t="str">
        <x:v>报告期</x:v>
      </x:c>
      <x:c r="E4" s="20" t="str">
        <x:f>IF('输入'!D4="","",'输入'!D4)</x:f>
        <x:v>H1 2026</x:v>
      </x:c>
      <x:c r="F4" s="20"/>
      <x:c r="G4" s="20" t="str">
        <x:v>总分</x:v>
      </x:c>
      <x:c r="H4" s="31" t="str">
        <x:f>IF(COUNT(I10:I19)&lt;10,"n.a.",SUM(I10:I19))</x:f>
        <x:v>n.a.</x:v>
      </x:c>
      <x:c r="I4" s="20"/>
      <x:c r="J4" s="20" t="str">
        <x:v>基础评级</x:v>
      </x:c>
      <x:c r="K4" s="20" t="str">
        <x:f>IF(NOT(ISNUMBER(H4)),"待补齐10项",IF(H4&gt;=80,"A — Strong Payment Capacity",IF(H4&gt;=70,"B — Good Payment Capacity",IF(H4&gt;=60,"C — Moderate Risk","D — High Payment Risk"))))</x:f>
        <x:v>待补齐10项</x:v>
      </x:c>
      <x:c r="L4" s="21"/>
    </x:row>
    <x:row r="5" ht="18" customHeight="1">
      <x:c r="A5" s="22" t="str">
        <x:v>数据状态</x:v>
      </x:c>
      <x:c r="B5" s="23" t="str">
        <x:f>IF(COUNT(I10:I19)&lt;10,"缺少 "&amp;(10-COUNT(I10:I19))&amp;" 项指标","10 项完整")</x:f>
        <x:v>缺少 4 项指标</x:v>
      </x:c>
      <x:c r="C5" s="23"/>
      <x:c r="D5" s="23" t="str">
        <x:v>评分档</x:v>
      </x:c>
      <x:c r="E5" s="23" t="str">
        <x:f>'输入'!D5&amp;" / "&amp;'输入'!D6&amp;" / "&amp;'输入'!D7</x:f>
        <x:v>100 / 60 / 0</x:v>
      </x:c>
      <x:c r="F5" s="23"/>
      <x:c r="G5" s="23" t="str">
        <x:v>Red Flag 数</x:v>
      </x:c>
      <x:c r="H5" s="32" t="str">
        <x:f>IF(COUNTIF('输入'!D30:D34,"是")+COUNTIF('输入'!D30:D34,"否")&lt;5,"n.a.",COUNTIF('输入'!D30:D34,"是"))</x:f>
        <x:v>n.a.</x:v>
      </x:c>
      <x:c r="I5" s="23"/>
      <x:c r="J5" s="23" t="str">
        <x:v>最终评级</x:v>
      </x:c>
      <x:c r="K5" s="23" t="str">
        <x:f>IF(NOT(ISNUMBER(H4)),"待补齐10项",IF(COUNTIF('输入'!D30:D34,"是")+COUNTIF('输入'!D30:D34,"否")&lt;5,"待确认Red Flag",IF(H5&gt;0,IF(H4&gt;=80,"B — Good Payment Capacity",IF(H4&gt;=70,"C — Moderate Risk","D — High Payment Risk")),IF(H4&gt;=80,"A — Strong Payment Capacity",IF(H4&gt;=70,"B — Good Payment Capacity",IF(H4&gt;=60,"C — Moderate Risk","D — High Payment Risk"))))))</x:f>
        <x:v>待补齐10项</x:v>
      </x:c>
      <x:c r="L5" s="24"/>
    </x:row>
    <x:row r="6" ht="30" customHeight="1">
      <x:c r="A6" s="152" t="str">
        <x:v>缺失输入不按 0 分；OCR待复核值不进入评分。任一 Red Flag 为“是”时，最终评级至少下降一级。</x:v>
      </x:c>
      <x:c r="B6" s="153"/>
      <x:c r="C6" s="153"/>
      <x:c r="D6" s="153"/>
      <x:c r="E6" s="153"/>
      <x:c r="F6" s="153"/>
      <x:c r="G6" s="153"/>
      <x:c r="H6" s="153"/>
      <x:c r="I6" s="153"/>
      <x:c r="J6" s="153"/>
      <x:c r="K6" s="153"/>
      <x:c r="L6" s="154"/>
    </x:row>
    <x:row r="7" ht="18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18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32" customHeight="1">
      <x:c r="A9" s="41" t="str">
        <x:v>序号</x:v>
      </x:c>
      <x:c r="B9" s="42" t="str">
        <x:v>维度</x:v>
      </x:c>
      <x:c r="C9" s="42" t="str">
        <x:v>指标</x:v>
      </x:c>
      <x:c r="D9" s="42" t="str">
        <x:v>公式</x:v>
      </x:c>
      <x:c r="E9" s="42" t="str">
        <x:v>权重</x:v>
      </x:c>
      <x:c r="F9" s="42" t="str">
        <x:v>当前值</x:v>
      </x:c>
      <x:c r="G9" s="42" t="str">
        <x:v>档位</x:v>
      </x:c>
      <x:c r="H9" s="42" t="str">
        <x:v>档位分</x:v>
      </x:c>
      <x:c r="I9" s="42" t="str">
        <x:v>加权分</x:v>
      </x:c>
      <x:c r="J9" s="42" t="str">
        <x:v>好</x:v>
      </x:c>
      <x:c r="K9" s="42" t="str">
        <x:v>一般</x:v>
      </x:c>
      <x:c r="L9" s="43" t="str">
        <x:v>风险</x:v>
      </x:c>
    </x:row>
    <x:row r="10" ht="32" customHeight="1">
      <x:c r="A10" s="48" t="n">
        <x:v>1</x:v>
      </x:c>
      <x:c r="B10" s="11" t="str">
        <x:v>现金</x:v>
      </x:c>
      <x:c r="C10" s="11" t="str">
        <x:v>Cash / Current Liabilities</x:v>
      </x:c>
      <x:c r="D10" s="63" t="str">
        <x:v>现金及现金等价物 ÷ 流动负债</x:v>
      </x:c>
      <x:c r="E10" s="51" t="n">
        <x:v>0.15</x:v>
      </x:c>
      <x:c r="F10" s="54" t="n">
        <x:f>IF(OR(NOT(ISNUMBER('输入'!D11)),NOT(ISNUMBER('输入'!D12)),'输入'!D12=0),"",ROUND('输入'!D11/'输入'!D12,6))</x:f>
        <x:v>0.488441</x:v>
      </x:c>
      <x:c r="G10" s="11" t="str">
        <x:f>IF(NOT(ISNUMBER(F10)),"待输入",IF(F10&gt;30%,"好",IF(F10&gt;=15%,"一般","风险")))</x:f>
        <x:v>好</x:v>
      </x:c>
      <x:c r="H10" s="60" t="n">
        <x:f>IF(G10="好",'输入'!$D$5,IF(G10="一般",'输入'!$D$6,IF(G10="风险",'输入'!$D$7,"")))</x:f>
        <x:v>100</x:v>
      </x:c>
      <x:c r="I10" s="60" t="n">
        <x:f>IF(NOT(ISNUMBER(H10)),"",E10*H10)</x:f>
        <x:v>15</x:v>
      </x:c>
      <x:c r="J10" s="48" t="str">
        <x:v>&gt;30%</x:v>
      </x:c>
      <x:c r="K10" s="48" t="str">
        <x:v>15–30%</x:v>
      </x:c>
      <x:c r="L10" s="48" t="str">
        <x:v>&lt;15%</x:v>
      </x:c>
    </x:row>
    <x:row r="11" ht="32" customHeight="1">
      <x:c r="A11" s="49" t="n">
        <x:v>2</x:v>
      </x:c>
      <x:c r="B11" s="47" t="str">
        <x:v>流动性</x:v>
      </x:c>
      <x:c r="C11" s="47" t="str">
        <x:v>Current Ratio</x:v>
      </x:c>
      <x:c r="D11" s="64" t="str">
        <x:v>流动资产 ÷ 流动负债</x:v>
      </x:c>
      <x:c r="E11" s="52" t="n">
        <x:v>0.1</x:v>
      </x:c>
      <x:c r="F11" s="55" t="n">
        <x:f>IF(OR(NOT(ISNUMBER('输入'!D13)),NOT(ISNUMBER('输入'!D12)),'输入'!D12=0),"",ROUND('输入'!D13/'输入'!D12,6))</x:f>
        <x:v>0.915645</x:v>
      </x:c>
      <x:c r="G11" s="47" t="str">
        <x:f>IF(NOT(ISNUMBER(F11)),"待输入",IF(F11&gt;1.5,"好",IF(F11&gt;=1,"一般","风险")))</x:f>
        <x:v>风险</x:v>
      </x:c>
      <x:c r="H11" s="61" t="n">
        <x:f>IF(G11="好",'输入'!$D$5,IF(G11="一般",'输入'!$D$6,IF(G11="风险",'输入'!$D$7,"")))</x:f>
        <x:v>0</x:v>
      </x:c>
      <x:c r="I11" s="61" t="n">
        <x:f>IF(NOT(ISNUMBER(H11)),"",E11*H11)</x:f>
        <x:v>0</x:v>
      </x:c>
      <x:c r="J11" s="49" t="str">
        <x:v>&gt;1.5x</x:v>
      </x:c>
      <x:c r="K11" s="49" t="str">
        <x:v>1.0–1.5x</x:v>
      </x:c>
      <x:c r="L11" s="49" t="str">
        <x:v>&lt;1.0x</x:v>
      </x:c>
    </x:row>
    <x:row r="12" ht="32" customHeight="1">
      <x:c r="A12" s="49" t="n">
        <x:v>3</x:v>
      </x:c>
      <x:c r="B12" s="47" t="str">
        <x:v>经营现金流</x:v>
      </x:c>
      <x:c r="C12" s="47" t="str">
        <x:v>CFO / Current Liabilities</x:v>
      </x:c>
      <x:c r="D12" s="64" t="str">
        <x:v>经营现金流 ÷ 流动负债</x:v>
      </x:c>
      <x:c r="E12" s="52" t="n">
        <x:v>0.1</x:v>
      </x:c>
      <x:c r="F12" s="56" t="n">
        <x:f>IF(OR(NOT(ISNUMBER('输入'!D14)),NOT(ISNUMBER('输入'!D12)),'输入'!D12=0),"",ROUND('输入'!D14/'输入'!D12,6))</x:f>
        <x:v>0.387252</x:v>
      </x:c>
      <x:c r="G12" s="47" t="str">
        <x:f>IF(NOT(ISNUMBER(F12)),"待输入",IF(F12&gt;30%,"好",IF(F12&gt;=10%,"一般","风险")))</x:f>
        <x:v>好</x:v>
      </x:c>
      <x:c r="H12" s="61" t="n">
        <x:f>IF(G12="好",'输入'!$D$5,IF(G12="一般",'输入'!$D$6,IF(G12="风险",'输入'!$D$7,"")))</x:f>
        <x:v>100</x:v>
      </x:c>
      <x:c r="I12" s="61" t="n">
        <x:f>IF(NOT(ISNUMBER(H12)),"",E12*H12)</x:f>
        <x:v>10</x:v>
      </x:c>
      <x:c r="J12" s="49" t="str">
        <x:v>&gt;30%</x:v>
      </x:c>
      <x:c r="K12" s="49" t="str">
        <x:v>10–30%</x:v>
      </x:c>
      <x:c r="L12" s="49" t="str">
        <x:v>&lt;10%</x:v>
      </x:c>
    </x:row>
    <x:row r="13" ht="32" customHeight="1">
      <x:c r="A13" s="49" t="n">
        <x:v>4</x:v>
      </x:c>
      <x:c r="B13" s="47" t="str">
        <x:v>自由现金流</x:v>
      </x:c>
      <x:c r="C13" s="47" t="str">
        <x:v>FCF</x:v>
      </x:c>
      <x:c r="D13" s="64" t="str">
        <x:v>CFO − Capex</x:v>
      </x:c>
      <x:c r="E13" s="52" t="n">
        <x:v>0.15</x:v>
      </x:c>
      <x:c r="F13" s="57" t="n">
        <x:f>IF(OR(NOT(ISNUMBER('输入'!D14)),NOT(ISNUMBER('输入'!D15))),"",'输入'!D14-'输入'!D15)</x:f>
        <x:v>163687</x:v>
      </x:c>
      <x:c r="G13" s="47" t="str">
        <x:f>IF(NOT(ISNUMBER(F13)),"待输入",IF(ABS(F13)&lt;='输入'!D25,"一般",IF(F13&gt;0,"好","风险")))</x:f>
        <x:v>好</x:v>
      </x:c>
      <x:c r="H13" s="61" t="n">
        <x:f>IF(G13="好",'输入'!$D$5,IF(G13="一般",'输入'!$D$6,IF(G13="风险",'输入'!$D$7,"")))</x:f>
        <x:v>100</x:v>
      </x:c>
      <x:c r="I13" s="61" t="n">
        <x:f>IF(NOT(ISNUMBER(H13)),"",E13*H13)</x:f>
        <x:v>15</x:v>
      </x:c>
      <x:c r="J13" s="49" t="str">
        <x:v>&gt;0</x:v>
      </x:c>
      <x:c r="K13" s="49" t="str">
        <x:v>接近 0</x:v>
      </x:c>
      <x:c r="L13" s="49" t="str">
        <x:v>&lt;0</x:v>
      </x:c>
    </x:row>
    <x:row r="14" ht="32" customHeight="1">
      <x:c r="A14" s="49" t="n">
        <x:v>5</x:v>
      </x:c>
      <x:c r="B14" s="47" t="str">
        <x:v>现金转化</x:v>
      </x:c>
      <x:c r="C14" s="47" t="str">
        <x:v>CFO / EBITDA</x:v>
      </x:c>
      <x:c r="D14" s="64" t="str">
        <x:v>经营现金流 ÷ EBITDA</x:v>
      </x:c>
      <x:c r="E14" s="52" t="n">
        <x:v>0.1</x:v>
      </x:c>
      <x:c r="F14" s="56" t="n">
        <x:f>IF(OR(NOT(ISNUMBER('输入'!D14)),NOT(ISNUMBER('输入'!D16)),'输入'!D16=0),"",ROUND('输入'!D14/'输入'!D16,6))</x:f>
        <x:v>0.633178</x:v>
      </x:c>
      <x:c r="G14" s="47" t="str">
        <x:f>IF(NOT(ISNUMBER(F14)),"待输入",IF(F14&gt;70%,"好",IF(F14&gt;=40%,"一般","风险")))</x:f>
        <x:v>一般</x:v>
      </x:c>
      <x:c r="H14" s="61" t="n">
        <x:f>IF(G14="好",'输入'!$D$5,IF(G14="一般",'输入'!$D$6,IF(G14="风险",'输入'!$D$7,"")))</x:f>
        <x:v>60</x:v>
      </x:c>
      <x:c r="I14" s="61" t="n">
        <x:f>IF(NOT(ISNUMBER(H14)),"",E14*H14)</x:f>
        <x:v>6</x:v>
      </x:c>
      <x:c r="J14" s="49" t="str">
        <x:v>&gt;70%</x:v>
      </x:c>
      <x:c r="K14" s="49" t="str">
        <x:v>40–70%</x:v>
      </x:c>
      <x:c r="L14" s="49" t="str">
        <x:v>&lt;40%</x:v>
      </x:c>
    </x:row>
    <x:row r="15" ht="32" customHeight="1">
      <x:c r="A15" s="49" t="n">
        <x:v>6</x:v>
      </x:c>
      <x:c r="B15" s="47" t="str">
        <x:v>杠杆</x:v>
      </x:c>
      <x:c r="C15" s="47" t="str">
        <x:v>Net Debt / EBITDA</x:v>
      </x:c>
      <x:c r="D15" s="64" t="str">
        <x:v>（有息负债 − 现金）÷ EBITDA</x:v>
      </x:c>
      <x:c r="E15" s="52" t="n">
        <x:v>0.1</x:v>
      </x:c>
      <x:c r="F15" s="55" t="str">
        <x:f>IF(OR(NOT(ISNUMBER('输入'!D17)),NOT(ISNUMBER('输入'!D11)),NOT(ISNUMBER('输入'!D16)),'输入'!D16=0),"",ROUND(('输入'!D17-'输入'!D11)/'输入'!D16,6))</x:f>
      </x:c>
      <x:c r="G15" s="47" t="str">
        <x:f>IF(NOT(ISNUMBER(F15)),"待输入",IF(F15&lt;2,"好",IF(F15&lt;=3,"一般","风险")))</x:f>
        <x:v>待输入</x:v>
      </x:c>
      <x:c r="H15" s="61" t="str">
        <x:f>IF(G15="好",'输入'!$D$5,IF(G15="一般",'输入'!$D$6,IF(G15="风险",'输入'!$D$7,"")))</x:f>
      </x:c>
      <x:c r="I15" s="61" t="str">
        <x:f>IF(NOT(ISNUMBER(H15)),"",E15*H15)</x:f>
      </x:c>
      <x:c r="J15" s="49" t="str">
        <x:v>&lt;2x</x:v>
      </x:c>
      <x:c r="K15" s="49" t="str">
        <x:v>2–3x</x:v>
      </x:c>
      <x:c r="L15" s="49" t="str">
        <x:v>&gt;3x</x:v>
      </x:c>
    </x:row>
    <x:row r="16" ht="32" customHeight="1">
      <x:c r="A16" s="49" t="n">
        <x:v>7</x:v>
      </x:c>
      <x:c r="B16" s="47" t="str">
        <x:v>偿债</x:v>
      </x:c>
      <x:c r="C16" s="47" t="str">
        <x:v>Interest Coverage</x:v>
      </x:c>
      <x:c r="D16" s="64" t="str">
        <x:v>EBITDA ÷ 利息费用</x:v>
      </x:c>
      <x:c r="E16" s="52" t="n">
        <x:v>0.1</x:v>
      </x:c>
      <x:c r="F16" s="55" t="str">
        <x:f>IF(OR(NOT(ISNUMBER('输入'!D16)),NOT(ISNUMBER('输入'!D18)),'输入'!D18=0),"",ROUND('输入'!D16/'输入'!D18,6))</x:f>
      </x:c>
      <x:c r="G16" s="47" t="str">
        <x:f>IF(NOT(ISNUMBER(F16)),"待输入",IF(F16&gt;5,"好",IF(F16&gt;=2,"一般","风险")))</x:f>
        <x:v>待输入</x:v>
      </x:c>
      <x:c r="H16" s="61" t="str">
        <x:f>IF(G16="好",'输入'!$D$5,IF(G16="一般",'输入'!$D$6,IF(G16="风险",'输入'!$D$7,"")))</x:f>
      </x:c>
      <x:c r="I16" s="61" t="str">
        <x:f>IF(NOT(ISNUMBER(H16)),"",E16*H16)</x:f>
      </x:c>
      <x:c r="J16" s="49" t="str">
        <x:v>&gt;5x</x:v>
      </x:c>
      <x:c r="K16" s="49" t="str">
        <x:v>2–5x</x:v>
      </x:c>
      <x:c r="L16" s="49" t="str">
        <x:v>&lt;2x</x:v>
      </x:c>
    </x:row>
    <x:row r="17" ht="32" customHeight="1">
      <x:c r="A17" s="49" t="n">
        <x:v>8</x:v>
      </x:c>
      <x:c r="B17" s="47" t="str">
        <x:v>回款</x:v>
      </x:c>
      <x:c r="C17" s="47" t="str">
        <x:v>DSO</x:v>
      </x:c>
      <x:c r="D17" s="64" t="str">
        <x:v>应收账款 ÷ Revenue × 365</x:v>
      </x:c>
      <x:c r="E17" s="52" t="n">
        <x:v>0.05</x:v>
      </x:c>
      <x:c r="F17" s="58" t="n">
        <x:f>IF(OR(NOT(ISNUMBER('输入'!D19)),NOT(ISNUMBER('输入'!D20)),'输入'!D20=0),"",ROUND('输入'!D19/'输入'!D20*365,6))</x:f>
        <x:v>41.176242</x:v>
      </x:c>
      <x:c r="G17" s="47" t="str">
        <x:f>IF(NOT(ISNUMBER(F17)),"待输入",IF(F17&lt;60,"好",IF(F17&lt;=90,"一般","风险")))</x:f>
        <x:v>好</x:v>
      </x:c>
      <x:c r="H17" s="61" t="n">
        <x:f>IF(G17="好",'输入'!$D$5,IF(G17="一般",'输入'!$D$6,IF(G17="风险",'输入'!$D$7,"")))</x:f>
        <x:v>100</x:v>
      </x:c>
      <x:c r="I17" s="61" t="n">
        <x:f>IF(NOT(ISNUMBER(H17)),"",E17*H17)</x:f>
        <x:v>5</x:v>
      </x:c>
      <x:c r="J17" s="49" t="str">
        <x:v>&lt;60 天</x:v>
      </x:c>
      <x:c r="K17" s="49" t="str">
        <x:v>60–90 天</x:v>
      </x:c>
      <x:c r="L17" s="49" t="str">
        <x:v>&gt;90 天</x:v>
      </x:c>
    </x:row>
    <x:row r="18" ht="32" customHeight="1">
      <x:c r="A18" s="49" t="n">
        <x:v>9</x:v>
      </x:c>
      <x:c r="B18" s="47" t="str">
        <x:v>供应商付款</x:v>
      </x:c>
      <x:c r="C18" s="47" t="str">
        <x:v>Payable Days</x:v>
      </x:c>
      <x:c r="D18" s="64" t="str">
        <x:v>应付账款 ÷ COGS × 365</x:v>
      </x:c>
      <x:c r="E18" s="52" t="n">
        <x:v>0.05</x:v>
      </x:c>
      <x:c r="F18" s="58" t="str">
        <x:f>IF(OR(NOT(ISNUMBER('输入'!D21)),NOT(ISNUMBER('输入'!D22)),'输入'!D22=0),"",ROUND('输入'!D21/'输入'!D22*365,6))</x:f>
      </x:c>
      <x:c r="G18" s="47" t="str">
        <x:f>IF(NOT(ISNUMBER(F18)),"待输入",IF(F18&lt;90,"好",IF(F18&lt;=120,"一般","风险")))</x:f>
        <x:v>待输入</x:v>
      </x:c>
      <x:c r="H18" s="61" t="str">
        <x:f>IF(G18="好",'输入'!$D$5,IF(G18="一般",'输入'!$D$6,IF(G18="风险",'输入'!$D$7,"")))</x:f>
      </x:c>
      <x:c r="I18" s="61" t="str">
        <x:f>IF(NOT(ISNUMBER(H18)),"",E18*H18)</x:f>
      </x:c>
      <x:c r="J18" s="49" t="str">
        <x:v>&lt;90 天</x:v>
      </x:c>
      <x:c r="K18" s="49" t="str">
        <x:v>90–120 天</x:v>
      </x:c>
      <x:c r="L18" s="49" t="str">
        <x:v>&gt;120 天</x:v>
      </x:c>
    </x:row>
    <x:row r="19" ht="32" customHeight="1">
      <x:c r="A19" s="50" t="n">
        <x:v>10</x:v>
      </x:c>
      <x:c r="B19" s="6" t="str">
        <x:v>我方风险敞口</x:v>
      </x:c>
      <x:c r="C19" s="6" t="str">
        <x:v>Our AR / Available Cash</x:v>
      </x:c>
      <x:c r="D19" s="65" t="str">
        <x:v>我方 AR ÷ 可动用现金</x:v>
      </x:c>
      <x:c r="E19" s="53" t="n">
        <x:v>0.1</x:v>
      </x:c>
      <x:c r="F19" s="59" t="str">
        <x:f>IF(OR(NOT(ISNUMBER('输入'!D23)),NOT(ISNUMBER('输入'!D24)),'输入'!D24=0),"",ROUND('输入'!D23/'输入'!D24,6))</x:f>
      </x:c>
      <x:c r="G19" s="6" t="str">
        <x:f>IF(NOT(ISNUMBER(F19)),"待输入",IF(F19&lt;20%,"好",IF(F19&lt;=40%,"一般","风险")))</x:f>
        <x:v>待输入</x:v>
      </x:c>
      <x:c r="H19" s="62" t="str">
        <x:f>IF(G19="好",'输入'!$D$5,IF(G19="一般",'输入'!$D$6,IF(G19="风险",'输入'!$D$7,"")))</x:f>
      </x:c>
      <x:c r="I19" s="62" t="str">
        <x:f>IF(NOT(ISNUMBER(H19)),"",E19*H19)</x:f>
      </x:c>
      <x:c r="J19" s="50" t="str">
        <x:v>&lt;20%</x:v>
      </x:c>
      <x:c r="K19" s="50" t="str">
        <x:v>20–40%</x:v>
      </x:c>
      <x:c r="L19" s="50" t="str">
        <x:v>&gt;40%</x:v>
      </x:c>
    </x:row>
    <x:row r="20" ht="18" customHeight="1">
      <x:c r="A20" s="2"/>
      <x:c r="B20" s="2"/>
      <x:c r="C20" s="2"/>
      <x:c r="D20" s="45" t="str">
        <x:v>权重合计</x:v>
      </x:c>
      <x:c r="E20" s="46" t="n">
        <x:f>SUM(E10:E19)</x:f>
        <x:v>1</x:v>
      </x:c>
      <x:c r="F20" s="45"/>
      <x:c r="G20" s="45" t="str"/>
      <x:c r="H20" s="45" t="str">
        <x:v>总加权分</x:v>
      </x:c>
      <x:c r="I20" s="45" t="str">
        <x:f>H4</x:f>
        <x:v>n.a.</x:v>
      </x:c>
      <x:c r="J20" s="2"/>
      <x:c r="K20" s="2"/>
      <x:c r="L20" s="2"/>
    </x:row>
    <x:row r="21" ht="1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8" customHeight="1">
      <x:c r="A22" s="66" t="str">
        <x:v>最终评级区间</x:v>
      </x:c>
      <x:c r="B22" s="66" t="str">
        <x:v>分数</x:v>
      </x:c>
      <x:c r="C22" s="66" t="str">
        <x:v>英文等级</x:v>
      </x:c>
      <x:c r="D22" s="66" t="str">
        <x:v>Red Flag 处理</x:v>
      </x:c>
      <x:c r="E22" s="2"/>
      <x:c r="F22" s="2"/>
      <x:c r="G22" s="2"/>
      <x:c r="H22" s="2"/>
      <x:c r="I22" s="2"/>
      <x:c r="J22" s="2"/>
      <x:c r="K22" s="2"/>
      <x:c r="L22" s="2"/>
    </x:row>
    <x:row r="23" ht="18" customHeight="1">
      <x:c r="A23" s="11" t="str">
        <x:v>A</x:v>
      </x:c>
      <x:c r="B23" s="11" t="str">
        <x:v>80–100</x:v>
      </x:c>
      <x:c r="C23" s="11" t="str">
        <x:v>Strong Payment Capacity</x:v>
      </x:c>
      <x:c r="D23" s="11" t="str">
        <x:v>有红旗时至少降至 B</x:v>
      </x:c>
      <x:c r="E23" s="2"/>
      <x:c r="F23" s="2"/>
      <x:c r="G23" s="2"/>
      <x:c r="H23" s="2"/>
      <x:c r="I23" s="2"/>
      <x:c r="J23" s="2"/>
      <x:c r="K23" s="2"/>
      <x:c r="L23" s="2"/>
    </x:row>
    <x:row r="24" ht="18" customHeight="1">
      <x:c r="A24" s="47" t="str">
        <x:v>B</x:v>
      </x:c>
      <x:c r="B24" s="47" t="str">
        <x:v>70–79</x:v>
      </x:c>
      <x:c r="C24" s="47" t="str">
        <x:v>Good Payment Capacity</x:v>
      </x:c>
      <x:c r="D24" s="47" t="str">
        <x:v>有红旗时至少降至 C</x:v>
      </x:c>
      <x:c r="E24" s="2"/>
      <x:c r="F24" s="2"/>
      <x:c r="G24" s="2"/>
      <x:c r="H24" s="2"/>
      <x:c r="I24" s="2"/>
      <x:c r="J24" s="2"/>
      <x:c r="K24" s="2"/>
      <x:c r="L24" s="2"/>
    </x:row>
    <x:row r="25" ht="18" customHeight="1">
      <x:c r="A25" s="47" t="str">
        <x:v>C</x:v>
      </x:c>
      <x:c r="B25" s="47" t="str">
        <x:v>60–69</x:v>
      </x:c>
      <x:c r="C25" s="47" t="str">
        <x:v>Moderate Risk</x:v>
      </x:c>
      <x:c r="D25" s="47" t="str">
        <x:v>有红旗时至少降至 D</x:v>
      </x:c>
      <x:c r="E25" s="2"/>
      <x:c r="F25" s="2"/>
      <x:c r="G25" s="2"/>
      <x:c r="H25" s="2"/>
      <x:c r="I25" s="2"/>
      <x:c r="J25" s="2"/>
      <x:c r="K25" s="2"/>
      <x:c r="L25" s="2"/>
    </x:row>
    <x:row r="26" ht="18" customHeight="1">
      <x:c r="A26" s="6" t="str">
        <x:v>D</x:v>
      </x:c>
      <x:c r="B26" s="6" t="str">
        <x:v>&lt;60</x:v>
      </x:c>
      <x:c r="C26" s="6" t="str">
        <x:v>High Payment Risk</x:v>
      </x:c>
      <x:c r="D26" s="6" t="str">
        <x:v>维持 D，必要时追加管理措施</x:v>
      </x:c>
      <x:c r="E26" s="2"/>
      <x:c r="F26" s="2"/>
      <x:c r="G26" s="2"/>
      <x:c r="H26" s="2"/>
      <x:c r="I26" s="2"/>
      <x:c r="J26" s="2"/>
      <x:c r="K26" s="2"/>
      <x:c r="L26" s="2"/>
    </x:row>
    <x:row r="27" ht="1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18" customHeight="1">
      <x:c r="A28" s="69" t="str">
        <x:v>Red Flag</x:v>
      </x:c>
      <x:c r="B28" s="69" t="str">
        <x:v>核验结果</x:v>
      </x:c>
      <x:c r="C28" s="69" t="str">
        <x:v>证据/备注</x:v>
      </x:c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63" t="str">
        <x:v>CFO 连续为负</x:v>
      </x:c>
      <x:c r="B29" s="63" t="str">
        <x:f>IF('输入'!D30="","",'输入'!D30)</x:f>
      </x:c>
      <x:c r="C29" s="63" t="str">
        <x:f>IF('输入'!E30="","",'输入'!E30)</x:f>
      </x:c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64" t="str">
        <x:v>FCF 连续为负</x:v>
      </x:c>
      <x:c r="B30" s="64" t="str">
        <x:f>IF('输入'!D31="","",'输入'!D31)</x:f>
      </x:c>
      <x:c r="C30" s="64" t="str">
        <x:f>IF('输入'!E31="","",'输入'!E31)</x:f>
      </x:c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64" t="str">
        <x:v>DSO 持续上升</x:v>
      </x:c>
      <x:c r="B31" s="64" t="str">
        <x:f>IF('输入'!D32="","",'输入'!D32)</x:f>
      </x:c>
      <x:c r="C31" s="64" t="str">
        <x:f>IF('输入'!E32="","",'输入'!E32)</x:f>
      </x:c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64" t="str">
        <x:v>大额债务近期到期</x:v>
      </x:c>
      <x:c r="B32" s="64" t="str">
        <x:f>IF('输入'!D33="","",'输入'!D33)</x:f>
      </x:c>
      <x:c r="C32" s="64" t="str">
        <x:f>IF('输入'!E33="","",'输入'!E33)</x:f>
      </x:c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65" t="str">
        <x:v>审计报告出现持续经营风险</x:v>
      </x:c>
      <x:c r="B33" s="65" t="str">
        <x:f>IF('输入'!D34="","",'输入'!D34)</x:f>
      </x:c>
      <x:c r="C33" s="65" t="str">
        <x:f>IF('输入'!E34="","",'输入'!E34)</x:f>
      </x:c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1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mergeCells>
    <x:mergeCell ref="K4:L4"/>
    <x:mergeCell ref="K5:L5"/>
    <x:mergeCell ref="A6:L6"/>
  </x:mergeCells>
  <x:conditionalFormatting sqref="G10:G19">
    <x:cfRule type="containsText" dxfId="0" priority="1" operator="containsText" text="好"/>
    <x:cfRule type="containsText" dxfId="1" priority="2" operator="containsText" text="一般"/>
    <x:cfRule type="containsText" dxfId="2" priority="3" operator="containsText" text="风险"/>
    <x:cfRule type="containsText" dxfId="3" priority="4" operator="containsText" text="待输入"/>
  </x:conditionalFormatting>
  <x:conditionalFormatting sqref="B29:B33">
    <x:cfRule type="containsText" dxfId="4" priority="5" operator="containsText" text="是"/>
    <x:cfRule type="containsText" dxfId="5" priority="6" operator="containsText" text="否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9" hidden="0" customWidth="1"/>
    <x:col min="4" max="4" width="15" hidden="0" customWidth="1"/>
    <x:col min="5" max="5" width="14" hidden="0" customWidth="1"/>
    <x:col min="6" max="6" width="30" hidden="0" customWidth="1"/>
    <x:col min="7" max="7" width="13" hidden="0" customWidth="1"/>
    <x:col min="8" max="8" width="28" hidden="0" customWidth="1"/>
    <x:col min="9" max="9" width="15" hidden="0" customWidth="1"/>
    <x:col min="10" max="10" width="15" hidden="0" customWidth="1"/>
    <x:col min="11" max="11" width="16" hidden="0" customWidth="1"/>
    <x:col min="12" max="12" width="48" hidden="0" customWidth="1"/>
    <x:col min="13" max="13" width="20" hidden="0" customWidth="1"/>
  </x:cols>
  <x:sheetData>
    <x:row r="1" ht="18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输入与假设</x:v>
      </x:c>
      <x:c r="B2" s="2"/>
      <x:c r="C2" s="2"/>
      <x:c r="D2" s="2"/>
      <x:c r="E2" s="2"/>
      <x:c r="F2" s="2"/>
      <x:c r="G2" s="2"/>
      <x:c r="H2" s="2"/>
    </x:row>
    <x:row r="3" ht="18" customHeight="1">
      <x:c r="A3" s="13" t="str">
        <x:v>客户</x:v>
      </x:c>
      <x:c r="B3" s="14"/>
      <x:c r="C3" s="14"/>
      <x:c r="D3" s="78" t="str">
        <x:f>IF($H$5="手工录入","",IF($H$5="Asiacell","Asiacell","Zain Iraq"))</x:f>
        <x:v>Asiacell</x:v>
      </x:c>
      <x:c r="E3" s="14" t="str">
        <x:v>客户代码</x:v>
      </x:c>
      <x:c r="F3" s="14"/>
      <x:c r="G3" s="14"/>
      <x:c r="H3" s="81" t="str">
        <x:f>IF($H$5="手工录入","",IF($H$5="Asiacell","TASC","TZNI"))</x:f>
        <x:v>TASC</x:v>
      </x:c>
    </x:row>
    <x:row r="4" ht="18" customHeight="1">
      <x:c r="A4" s="16" t="str">
        <x:v>报告期</x:v>
      </x:c>
      <x:c r="B4" s="17"/>
      <x:c r="C4" s="17"/>
      <x:c r="D4" s="79" t="str">
        <x:f>IF($H$5="手工录入","","H1 2026")</x:f>
        <x:v>H1 2026</x:v>
      </x:c>
      <x:c r="E4" s="17" t="str">
        <x:v>币种/单位</x:v>
      </x:c>
      <x:c r="F4" s="17"/>
      <x:c r="G4" s="17"/>
      <x:c r="H4" s="82" t="str">
        <x:f>IF($H$5="手工录入","","IQD million")</x:f>
        <x:v>IQD million</x:v>
      </x:c>
    </x:row>
    <x:row r="5" ht="18" customHeight="1">
      <x:c r="A5" s="16" t="str">
        <x:v>好档分</x:v>
      </x:c>
      <x:c r="B5" s="17"/>
      <x:c r="C5" s="17"/>
      <x:c r="D5" s="79" t="n">
        <x:v>100</x:v>
      </x:c>
      <x:c r="E5" s="119" t="str">
        <x:v>OCR 数据集（仅核验值自动生效）</x:v>
      </x:c>
      <x:c r="F5" s="119"/>
      <x:c r="G5" s="119"/>
      <x:c r="H5" s="125" t="str">
        <x:v>Asiacell</x:v>
      </x:c>
    </x:row>
    <x:row r="6" ht="18" customHeight="1">
      <x:c r="A6" s="16" t="str">
        <x:v>一般档分</x:v>
      </x:c>
      <x:c r="B6" s="17"/>
      <x:c r="C6" s="17"/>
      <x:c r="D6" s="79" t="n">
        <x:v>60</x:v>
      </x:c>
      <x:c r="E6" s="17"/>
      <x:c r="F6" s="17"/>
      <x:c r="G6" s="17"/>
      <x:c r="H6" s="18"/>
    </x:row>
    <x:row r="7" ht="18" customHeight="1">
      <x:c r="A7" s="70" t="str">
        <x:v>风险档分</x:v>
      </x:c>
      <x:c r="B7" s="71"/>
      <x:c r="C7" s="71"/>
      <x:c r="D7" s="80" t="n">
        <x:v>0</x:v>
      </x:c>
      <x:c r="E7" s="71"/>
      <x:c r="F7" s="71"/>
      <x:c r="G7" s="71"/>
      <x:c r="H7" s="72"/>
    </x:row>
    <x:row r="8" ht="18" customHeight="1">
      <x:c r="A8" s="2"/>
      <x:c r="B8" s="2"/>
      <x:c r="C8" s="2"/>
      <x:c r="D8" s="2"/>
      <x:c r="E8" s="2"/>
      <x:c r="F8" s="2"/>
      <x:c r="G8" s="2"/>
      <x:c r="H8" s="2"/>
    </x:row>
    <x:row r="9" ht="18" customHeight="1">
      <x:c r="A9" s="2"/>
      <x:c r="B9" s="2"/>
      <x:c r="C9" s="2"/>
      <x:c r="D9" s="2"/>
      <x:c r="E9" s="2"/>
      <x:c r="F9" s="2"/>
      <x:c r="G9" s="2"/>
      <x:c r="H9" s="2"/>
    </x:row>
    <x:row r="10" ht="32" customHeight="1">
      <x:c r="A10" s="93" t="str">
        <x:v>字段</x:v>
      </x:c>
      <x:c r="B10" s="93" t="str">
        <x:v>口径</x:v>
      </x:c>
      <x:c r="C10" s="93" t="str">
        <x:v>用途</x:v>
      </x:c>
      <x:c r="D10" s="93" t="str">
        <x:v>输入值</x:v>
      </x:c>
      <x:c r="E10" s="93" t="str">
        <x:v>单位</x:v>
      </x:c>
      <x:c r="F10" s="93" t="str">
        <x:v>数据来源</x:v>
      </x:c>
      <x:c r="G10" s="93" t="str">
        <x:v>截止日</x:v>
      </x:c>
      <x:c r="H10" s="93" t="str">
        <x:v>备注</x:v>
      </x:c>
      <x:c r="I10" s="139" t="str">
        <x:v>人工覆盖</x:v>
      </x:c>
      <x:c r="J10" s="139" t="str">
        <x:v>OCR值</x:v>
      </x:c>
      <x:c r="K10" s="139" t="str">
        <x:v>OCR状态</x:v>
      </x:c>
      <x:c r="L10" s="139" t="str">
        <x:v>页码/核验</x:v>
      </x:c>
      <x:c r="M10" s="139" t="str">
        <x:v>生效说明</x:v>
      </x:c>
    </x:row>
    <x:row r="11" ht="34" customHeight="1">
      <x:c r="A11" s="63" t="str">
        <x:v>现金及现金等价物</x:v>
      </x:c>
      <x:c r="B11" s="63" t="str">
        <x:v>期末余额</x:v>
      </x:c>
      <x:c r="C11" s="63" t="str">
        <x:v>现金比例、净债务</x:v>
      </x:c>
      <x:c r="D11" s="135" t="n">
        <x:f>IF(ISNUMBER(I11),I11,IF(LEFT(K11,3)="已核验",J11,""))</x:f>
        <x:v>362971</x:v>
      </x:c>
      <x:c r="E11" s="63" t="str">
        <x:v>币种单位</x:v>
      </x:c>
      <x:c r="F11" s="63"/>
      <x:c r="G11" s="95"/>
      <x:c r="H11" s="63"/>
      <x:c r="I11" s="146"/>
      <x:c r="J11" s="147" t="n">
        <x:f>IF($H$5="手工录入","",IF($H$5="Asiacell",IF(ISNUMBER('OCR导入'!D6),'OCR导入'!D6,""),IF(ISNUMBER('OCR导入'!D22),'OCR导入'!D22,"")))</x:f>
        <x:v>362971</x:v>
      </x:c>
      <x:c r="K11" s="148" t="str">
        <x:f>IF($H$5="手工录入","",IF($H$5="Asiacell",'OCR导入'!E6,'OCR导入'!E22))</x:f>
        <x:v>已核验</x:v>
      </x:c>
      <x:c r="L11" s="148" t="str">
        <x:f>IF($H$5="手工录入","",IF($H$5="Asiacell","p."&amp;'OCR导入'!H6&amp;" · "&amp;'OCR导入'!I6,"p."&amp;'OCR导入'!H22&amp;" · "&amp;'OCR导入'!I22))</x:f>
        <x:v>p.2 · 扫描页目视复核 + 期末现金勾稽；النقد 362,971</x:v>
      </x:c>
      <x:c r="M11" s="148" t="str">
        <x:f>IF(ISNUMBER(I11),"人工覆盖",IF(LEFT(K11,3)="已核验","OCR核验值生效",IF(K11="缺失","缺失，不评分","待复核，不评分")))</x:f>
        <x:v>OCR核验值生效</x:v>
      </x:c>
    </x:row>
    <x:row r="12" ht="34" customHeight="1">
      <x:c r="A12" s="64" t="str">
        <x:v>流动负债</x:v>
      </x:c>
      <x:c r="B12" s="64" t="str">
        <x:v>期末余额</x:v>
      </x:c>
      <x:c r="C12" s="64" t="str">
        <x:v>现金比例、流动比率、CFO覆盖</x:v>
      </x:c>
      <x:c r="D12" s="136" t="n">
        <x:f>IF(ISNUMBER(I12),I12,IF(LEFT(K12,3)="已核验",J12,""))</x:f>
        <x:v>743121</x:v>
      </x:c>
      <x:c r="E12" s="64" t="str">
        <x:v>币种单位</x:v>
      </x:c>
      <x:c r="F12" s="64"/>
      <x:c r="G12" s="97"/>
      <x:c r="H12" s="64"/>
      <x:c r="I12" s="146"/>
      <x:c r="J12" s="147" t="n">
        <x:f>IF($H$5="手工录入","",IF($H$5="Asiacell",IF(ISNUMBER('OCR导入'!D7),'OCR导入'!D7,""),IF(ISNUMBER('OCR导入'!D23),'OCR导入'!D23,"")))</x:f>
        <x:v>743121</x:v>
      </x:c>
      <x:c r="K12" s="148" t="str">
        <x:f>IF($H$5="手工录入","",IF($H$5="Asiacell",'OCR导入'!E7,'OCR导入'!E23))</x:f>
        <x:v>已核验</x:v>
      </x:c>
      <x:c r="L12" s="148" t="str">
        <x:f>IF($H$5="手工录入","",IF($H$5="Asiacell","p."&amp;'OCR导入'!H7&amp;" · "&amp;'OCR导入'!I7,"p."&amp;'OCR导入'!H23&amp;" · "&amp;'OCR导入'!I23))</x:f>
        <x:v>p.2 · 扫描页目视复核 + 负债权益平衡；مجموع الالتزامات المتداولة 743,121</x:v>
      </x:c>
      <x:c r="M12" s="148" t="str">
        <x:f>IF(ISNUMBER(I12),"人工覆盖",IF(LEFT(K12,3)="已核验","OCR核验值生效",IF(K12="缺失","缺失，不评分","待复核，不评分")))</x:f>
        <x:v>OCR核验值生效</x:v>
      </x:c>
    </x:row>
    <x:row r="13" ht="34" customHeight="1">
      <x:c r="A13" s="64" t="str">
        <x:v>流动资产</x:v>
      </x:c>
      <x:c r="B13" s="64" t="str">
        <x:v>期末余额</x:v>
      </x:c>
      <x:c r="C13" s="64" t="str">
        <x:v>Current Ratio</x:v>
      </x:c>
      <x:c r="D13" s="136" t="n">
        <x:f>IF(ISNUMBER(I13),I13,IF(LEFT(K13,3)="已核验",J13,""))</x:f>
        <x:v>680435</x:v>
      </x:c>
      <x:c r="E13" s="64" t="str">
        <x:v>币种单位</x:v>
      </x:c>
      <x:c r="F13" s="64"/>
      <x:c r="G13" s="97"/>
      <x:c r="H13" s="64"/>
      <x:c r="I13" s="146"/>
      <x:c r="J13" s="147" t="n">
        <x:f>IF($H$5="手工录入","",IF($H$5="Asiacell",IF(ISNUMBER('OCR导入'!D8),'OCR导入'!D8,""),IF(ISNUMBER('OCR导入'!D24),'OCR导入'!D24,"")))</x:f>
        <x:v>680435</x:v>
      </x:c>
      <x:c r="K13" s="148" t="str">
        <x:f>IF($H$5="手工录入","",IF($H$5="Asiacell",'OCR导入'!E8,'OCR导入'!E24))</x:f>
        <x:v>已核验</x:v>
      </x:c>
      <x:c r="L13" s="148" t="str">
        <x:f>IF($H$5="手工录入","",IF($H$5="Asiacell","p."&amp;'OCR导入'!H8&amp;" · "&amp;'OCR导入'!I8,"p."&amp;'OCR导入'!H24&amp;" · "&amp;'OCR导入'!I24))</x:f>
        <x:v>p.2 · 扫描页目视复核 + 分项加总；مجموع الأصول المتداولة 680,435</x:v>
      </x:c>
      <x:c r="M13" s="148" t="str">
        <x:f>IF(ISNUMBER(I13),"人工覆盖",IF(LEFT(K13,3)="已核验","OCR核验值生效",IF(K13="缺失","缺失，不评分","待复核，不评分")))</x:f>
        <x:v>OCR核验值生效</x:v>
      </x:c>
    </x:row>
    <x:row r="14" ht="34" customHeight="1">
      <x:c r="A14" s="64" t="str">
        <x:v>经营现金流 CFO</x:v>
      </x:c>
      <x:c r="B14" s="64" t="str">
        <x:v>期间累计</x:v>
      </x:c>
      <x:c r="C14" s="64" t="str">
        <x:v>CFO覆盖、FCF、现金转化</x:v>
      </x:c>
      <x:c r="D14" s="136" t="n">
        <x:f>IF(ISNUMBER(I14),I14,IF(LEFT(K14,3)="已核验",J14,""))</x:f>
        <x:v>287775</x:v>
      </x:c>
      <x:c r="E14" s="64" t="str">
        <x:v>币种单位</x:v>
      </x:c>
      <x:c r="F14" s="64"/>
      <x:c r="G14" s="97"/>
      <x:c r="H14" s="64"/>
      <x:c r="I14" s="146"/>
      <x:c r="J14" s="147" t="n">
        <x:f>IF($H$5="手工录入","",IF($H$5="Asiacell",IF(ISNUMBER('OCR导入'!D9),'OCR导入'!D9,""),IF(ISNUMBER('OCR导入'!D25),'OCR导入'!D25,"")))</x:f>
        <x:v>287775</x:v>
      </x:c>
      <x:c r="K14" s="148" t="str">
        <x:f>IF($H$5="手工录入","",IF($H$5="Asiacell",'OCR导入'!E9,'OCR导入'!E25))</x:f>
        <x:v>已核验</x:v>
      </x:c>
      <x:c r="L14" s="148" t="str">
        <x:f>IF($H$5="手工录入","",IF($H$5="Asiacell","p."&amp;'OCR导入'!H9&amp;" · "&amp;'OCR导入'!I9,"p."&amp;'OCR导入'!H25&amp;" · "&amp;'OCR导入'!I25))</x:f>
        <x:v>p.4 · 扫描页目视复核 + 现金变动勾稽；صافي التدفقات النقدية من الأنشطة التشغيلية 287,775</x:v>
      </x:c>
      <x:c r="M14" s="148" t="str">
        <x:f>IF(ISNUMBER(I14),"人工覆盖",IF(LEFT(K14,3)="已核验","OCR核验值生效",IF(K14="缺失","缺失，不评分","待复核，不评分")))</x:f>
        <x:v>OCR核验值生效</x:v>
      </x:c>
    </x:row>
    <x:row r="15" ht="34" customHeight="1">
      <x:c r="A15" s="64" t="str">
        <x:v>资本开支 Capex</x:v>
      </x:c>
      <x:c r="B15" s="64" t="str">
        <x:v>期间累计现金口径</x:v>
      </x:c>
      <x:c r="C15" s="64" t="str">
        <x:v>FCF</x:v>
      </x:c>
      <x:c r="D15" s="136" t="n">
        <x:f>IF(ISNUMBER(I15),I15,IF(LEFT(K15,3)="已核验",J15,""))</x:f>
        <x:v>124088</x:v>
      </x:c>
      <x:c r="E15" s="64" t="str">
        <x:v>币种单位</x:v>
      </x:c>
      <x:c r="F15" s="64"/>
      <x:c r="G15" s="97"/>
      <x:c r="H15" s="64"/>
      <x:c r="I15" s="146"/>
      <x:c r="J15" s="147" t="n">
        <x:f>IF($H$5="手工录入","",IF($H$5="Asiacell",IF(ISNUMBER('OCR导入'!D10),'OCR导入'!D10,""),IF(ISNUMBER('OCR导入'!D26),'OCR导入'!D26,"")))</x:f>
        <x:v>124088</x:v>
      </x:c>
      <x:c r="K15" s="148" t="str">
        <x:f>IF($H$5="手工录入","",IF($H$5="Asiacell",'OCR导入'!E10,'OCR导入'!E26))</x:f>
        <x:v>已核验</x:v>
      </x:c>
      <x:c r="L15" s="148" t="str">
        <x:f>IF($H$5="手工录入","",IF($H$5="Asiacell","p."&amp;'OCR导入'!H10&amp;" · "&amp;'OCR导入'!I10,"p."&amp;'OCR导入'!H26&amp;" · "&amp;'OCR导入'!I26))</x:f>
        <x:v>p.4 · 扫描页目视复核；现金流口径；شراء الموجودات الثابتة والمشروعات تحت التنفيذ (124,088)</x:v>
      </x:c>
      <x:c r="M15" s="148" t="str">
        <x:f>IF(ISNUMBER(I15),"人工覆盖",IF(LEFT(K15,3)="已核验","OCR核验值生效",IF(K15="缺失","缺失，不评分","待复核，不评分")))</x:f>
        <x:v>OCR核验值生效</x:v>
      </x:c>
    </x:row>
    <x:row r="16" ht="34" customHeight="1">
      <x:c r="A16" s="64" t="str">
        <x:v>EBITDA</x:v>
      </x:c>
      <x:c r="B16" s="64" t="str">
        <x:v>与 CFO 同期</x:v>
      </x:c>
      <x:c r="C16" s="64" t="str">
        <x:v>现金转化、杠杆、利息覆盖</x:v>
      </x:c>
      <x:c r="D16" s="136" t="n">
        <x:f>IF(ISNUMBER(I16),I16,IF(LEFT(K16,3)="已核验",J16,""))</x:f>
        <x:v>454493</x:v>
      </x:c>
      <x:c r="E16" s="64" t="str">
        <x:v>币种单位</x:v>
      </x:c>
      <x:c r="F16" s="64"/>
      <x:c r="G16" s="97"/>
      <x:c r="H16" s="64"/>
      <x:c r="I16" s="146"/>
      <x:c r="J16" s="147" t="n">
        <x:f>IF($H$5="手工录入","",IF($H$5="Asiacell",IF(ISNUMBER('OCR导入'!D11),'OCR导入'!D11,""),IF(ISNUMBER('OCR导入'!D27),'OCR导入'!D27,"")))</x:f>
        <x:v>454493</x:v>
      </x:c>
      <x:c r="K16" s="148" t="str">
        <x:f>IF($H$5="手工录入","",IF($H$5="Asiacell",'OCR导入'!E11,'OCR导入'!E27))</x:f>
        <x:v>已核验-外部</x:v>
      </x:c>
      <x:c r="L16" s="148" t="str">
        <x:f>IF($H$5="手工录入","",IF($H$5="Asiacell","p."&amp;'OCR导入'!H11&amp;" · "&amp;'OCR导入'!I11,"p."&amp;'OCR导入'!H27&amp;" · "&amp;'OCR导入'!I27))</x:f>
        <x:v>p.3 · 官方Ooredoo分部表交叉核验；Q1 220,614 + Q2 233,879 = H1 454,493</x:v>
      </x:c>
      <x:c r="M16" s="148" t="str">
        <x:f>IF(ISNUMBER(I16),"人工覆盖",IF(LEFT(K16,3)="已核验","OCR核验值生效",IF(K16="缺失","缺失，不评分","待复核，不评分")))</x:f>
        <x:v>OCR核验值生效</x:v>
      </x:c>
    </x:row>
    <x:row r="17" ht="34" customHeight="1">
      <x:c r="A17" s="64" t="str">
        <x:v>有息负债</x:v>
      </x:c>
      <x:c r="B17" s="64" t="str">
        <x:v>期末总额</x:v>
      </x:c>
      <x:c r="C17" s="64" t="str">
        <x:v>Net Debt / EBITDA</x:v>
      </x:c>
      <x:c r="D17" s="136" t="str">
        <x:f>IF(ISNUMBER(I17),I17,IF(LEFT(K17,3)="已核验",J17,""))</x:f>
      </x:c>
      <x:c r="E17" s="64" t="str">
        <x:v>币种单位</x:v>
      </x:c>
      <x:c r="F17" s="64"/>
      <x:c r="G17" s="97"/>
      <x:c r="H17" s="64"/>
      <x:c r="I17" s="146"/>
      <x:c r="J17" s="147" t="n">
        <x:f>IF($H$5="手工录入","",IF($H$5="Asiacell",IF(ISNUMBER('OCR导入'!D12),'OCR导入'!D12,""),IF(ISNUMBER('OCR导入'!D28),'OCR导入'!D28,"")))</x:f>
        <x:v>452335</x:v>
      </x:c>
      <x:c r="K17" s="148" t="str">
        <x:f>IF($H$5="手工录入","",IF($H$5="Asiacell",'OCR导入'!E12,'OCR导入'!E28))</x:f>
        <x:v>待复核</x:v>
      </x:c>
      <x:c r="L17" s="148" t="str">
        <x:f>IF($H$5="手工录入","",IF($H$5="Asiacell","p."&amp;'OCR导入'!H12&amp;" · "&amp;'OCR导入'!I12,"p."&amp;'OCR导入'!H28&amp;" · "&amp;'OCR导入'!I28))</x:f>
        <x:v>p.2 · 债务及租赁负债分项加总；138,529 + 93,634 + 175,291 + 44,881</x:v>
      </x:c>
      <x:c r="M17" s="148" t="str">
        <x:f>IF(ISNUMBER(I17),"人工覆盖",IF(LEFT(K17,3)="已核验","OCR核验值生效",IF(K17="缺失","缺失，不评分","待复核，不评分")))</x:f>
        <x:v>待复核，不评分</x:v>
      </x:c>
    </x:row>
    <x:row r="18" ht="34" customHeight="1">
      <x:c r="A18" s="64" t="str">
        <x:v>利息费用</x:v>
      </x:c>
      <x:c r="B18" s="64" t="str">
        <x:v>与 EBITDA 同期</x:v>
      </x:c>
      <x:c r="C18" s="64" t="str">
        <x:v>Interest Coverage</x:v>
      </x:c>
      <x:c r="D18" s="136" t="str">
        <x:f>IF(ISNUMBER(I18),I18,IF(LEFT(K18,3)="已核验",J18,""))</x:f>
      </x:c>
      <x:c r="E18" s="64" t="str">
        <x:v>币种单位</x:v>
      </x:c>
      <x:c r="F18" s="64"/>
      <x:c r="G18" s="97"/>
      <x:c r="H18" s="64"/>
      <x:c r="I18" s="146"/>
      <x:c r="J18" s="147" t="str">
        <x:f>IF($H$5="手工录入","",IF($H$5="Asiacell",IF(ISNUMBER('OCR导入'!D13),'OCR导入'!D13,""),IF(ISNUMBER('OCR导入'!D29),'OCR导入'!D29,"")))</x:f>
      </x:c>
      <x:c r="K18" s="148" t="str">
        <x:f>IF($H$5="手工录入","",IF($H$5="Asiacell",'OCR导入'!E13,'OCR导入'!E29))</x:f>
        <x:v>缺失</x:v>
      </x:c>
      <x:c r="L18" s="148" t="str">
        <x:f>IF($H$5="手工录入","",IF($H$5="Asiacell","p."&amp;'OCR导入'!H13&amp;" · "&amp;'OCR导入'!I13,"p."&amp;'OCR导入'!H29&amp;" · "&amp;'OCR导入'!I29))</x:f>
        <x:v>p. · 未检出</x:v>
      </x:c>
      <x:c r="M18" s="148" t="str">
        <x:f>IF(ISNUMBER(I18),"人工覆盖",IF(LEFT(K18,3)="已核验","OCR核验值生效",IF(K18="缺失","缺失，不评分","待复核，不评分")))</x:f>
        <x:v>缺失，不评分</x:v>
      </x:c>
    </x:row>
    <x:row r="19" ht="34" customHeight="1">
      <x:c r="A19" s="64" t="str">
        <x:v>应收账款 AR</x:v>
      </x:c>
      <x:c r="B19" s="64" t="str">
        <x:v>期末或期间平均</x:v>
      </x:c>
      <x:c r="C19" s="64" t="str">
        <x:v>DSO</x:v>
      </x:c>
      <x:c r="D19" s="136" t="n">
        <x:f>IF(ISNUMBER(I19),I19,IF(LEFT(K19,3)="已核验",J19,""))</x:f>
        <x:v>113537</x:v>
      </x:c>
      <x:c r="E19" s="64" t="str">
        <x:v>币种单位</x:v>
      </x:c>
      <x:c r="F19" s="64"/>
      <x:c r="G19" s="97"/>
      <x:c r="H19" s="64"/>
      <x:c r="I19" s="146"/>
      <x:c r="J19" s="147" t="n">
        <x:f>IF($H$5="手工录入","",IF($H$5="Asiacell",IF(ISNUMBER('OCR导入'!D14),'OCR导入'!D14,""),IF(ISNUMBER('OCR导入'!D30),'OCR导入'!D30,"")))</x:f>
        <x:v>113537</x:v>
      </x:c>
      <x:c r="K19" s="148" t="str">
        <x:f>IF($H$5="手工录入","",IF($H$5="Asiacell",'OCR导入'!E14,'OCR导入'!E30))</x:f>
        <x:v>已核验</x:v>
      </x:c>
      <x:c r="L19" s="148" t="str">
        <x:f>IF($H$5="手工录入","",IF($H$5="Asiacell","p."&amp;'OCR导入'!H14&amp;" · "&amp;'OCR导入'!I14,"p."&amp;'OCR导入'!H30&amp;" · "&amp;'OCR导入'!I30))</x:f>
        <x:v>p.2 · 扫描页目视复核；الذمم المدينة 113,537</x:v>
      </x:c>
      <x:c r="M19" s="148" t="str">
        <x:f>IF(ISNUMBER(I19),"人工覆盖",IF(LEFT(K19,3)="已核验","OCR核验值生效",IF(K19="缺失","缺失，不评分","待复核，不评分")))</x:f>
        <x:v>OCR核验值生效</x:v>
      </x:c>
    </x:row>
    <x:row r="20" ht="34" customHeight="1">
      <x:c r="A20" s="64" t="str">
        <x:v>Revenue</x:v>
      </x:c>
      <x:c r="B20" s="64" t="str">
        <x:v>期间累计</x:v>
      </x:c>
      <x:c r="C20" s="64" t="str">
        <x:v>DSO</x:v>
      </x:c>
      <x:c r="D20" s="136" t="n">
        <x:f>IF(ISNUMBER(I20),I20,IF(LEFT(K20,3)="已核验",J20,""))</x:f>
        <x:v>1006430</x:v>
      </x:c>
      <x:c r="E20" s="64" t="str">
        <x:v>币种单位</x:v>
      </x:c>
      <x:c r="F20" s="64"/>
      <x:c r="G20" s="97"/>
      <x:c r="H20" s="64"/>
      <x:c r="I20" s="146"/>
      <x:c r="J20" s="147" t="n">
        <x:f>IF($H$5="手工录入","",IF($H$5="Asiacell",IF(ISNUMBER('OCR导入'!D15),'OCR导入'!D15,""),IF(ISNUMBER('OCR导入'!D31),'OCR导入'!D31,"")))</x:f>
        <x:v>1006430</x:v>
      </x:c>
      <x:c r="K20" s="148" t="str">
        <x:f>IF($H$5="手工录入","",IF($H$5="Asiacell",'OCR导入'!E15,'OCR导入'!E31))</x:f>
        <x:v>已核验-外部</x:v>
      </x:c>
      <x:c r="L20" s="148" t="str">
        <x:f>IF($H$5="手工录入","",IF($H$5="Asiacell","p."&amp;'OCR导入'!H15&amp;" · "&amp;'OCR导入'!I15,"p."&amp;'OCR导入'!H31&amp;" · "&amp;'OCR导入'!I31))</x:f>
        <x:v>p.3 · 扫描页目视复核 + Ooredoo季度加总交叉核验；إيرادات النشاط الجاري 1,006,430</x:v>
      </x:c>
      <x:c r="M20" s="148" t="str">
        <x:f>IF(ISNUMBER(I20),"人工覆盖",IF(LEFT(K20,3)="已核验","OCR核验值生效",IF(K20="缺失","缺失，不评分","待复核，不评分")))</x:f>
        <x:v>OCR核验值生效</x:v>
      </x:c>
    </x:row>
    <x:row r="21" ht="34" customHeight="1">
      <x:c r="A21" s="64" t="str">
        <x:v>应付账款 AP</x:v>
      </x:c>
      <x:c r="B21" s="64" t="str">
        <x:v>期末或期间平均</x:v>
      </x:c>
      <x:c r="C21" s="64" t="str">
        <x:v>Payable Days</x:v>
      </x:c>
      <x:c r="D21" s="136" t="n">
        <x:f>IF(ISNUMBER(I21),I21,IF(LEFT(K21,3)="已核验",J21,""))</x:f>
        <x:v>567830</x:v>
      </x:c>
      <x:c r="E21" s="64" t="str">
        <x:v>币种单位</x:v>
      </x:c>
      <x:c r="F21" s="64"/>
      <x:c r="G21" s="97"/>
      <x:c r="H21" s="64"/>
      <x:c r="I21" s="146"/>
      <x:c r="J21" s="147" t="n">
        <x:f>IF($H$5="手工录入","",IF($H$5="Asiacell",IF(ISNUMBER('OCR导入'!D16),'OCR导入'!D16,""),IF(ISNUMBER('OCR导入'!D32),'OCR导入'!D32,"")))</x:f>
        <x:v>567830</x:v>
      </x:c>
      <x:c r="K21" s="148" t="str">
        <x:f>IF($H$5="手工录入","",IF($H$5="Asiacell",'OCR导入'!E16,'OCR导入'!E32))</x:f>
        <x:v>已核验</x:v>
      </x:c>
      <x:c r="L21" s="148" t="str">
        <x:f>IF($H$5="手工录入","",IF($H$5="Asiacell","p."&amp;'OCR导入'!H16&amp;" · "&amp;'OCR导入'!I16,"p."&amp;'OCR导入'!H32&amp;" · "&amp;'OCR导入'!I32))</x:f>
        <x:v>p.2 · 扫描页目视复核；الذمم الدائنة 567,830</x:v>
      </x:c>
      <x:c r="M21" s="148" t="str">
        <x:f>IF(ISNUMBER(I21),"人工覆盖",IF(LEFT(K21,3)="已核验","OCR核验值生效",IF(K21="缺失","缺失，不评分","待复核，不评分")))</x:f>
        <x:v>OCR核验值生效</x:v>
      </x:c>
    </x:row>
    <x:row r="22" ht="34" customHeight="1">
      <x:c r="A22" s="64" t="str">
        <x:v>COGS</x:v>
      </x:c>
      <x:c r="B22" s="64" t="str">
        <x:v>期间累计</x:v>
      </x:c>
      <x:c r="C22" s="64" t="str">
        <x:v>Payable Days</x:v>
      </x:c>
      <x:c r="D22" s="136" t="str">
        <x:f>IF(ISNUMBER(I22),I22,IF(LEFT(K22,3)="已核验",J22,""))</x:f>
      </x:c>
      <x:c r="E22" s="64" t="str">
        <x:v>币种单位</x:v>
      </x:c>
      <x:c r="F22" s="64"/>
      <x:c r="G22" s="97"/>
      <x:c r="H22" s="64"/>
      <x:c r="I22" s="146"/>
      <x:c r="J22" s="147" t="str">
        <x:f>IF($H$5="手工录入","",IF($H$5="Asiacell",IF(ISNUMBER('OCR导入'!D17),'OCR导入'!D17,""),IF(ISNUMBER('OCR导入'!D33),'OCR导入'!D33,"")))</x:f>
      </x:c>
      <x:c r="K22" s="148" t="str">
        <x:f>IF($H$5="手工录入","",IF($H$5="Asiacell",'OCR导入'!E17,'OCR导入'!E33))</x:f>
        <x:v>缺失</x:v>
      </x:c>
      <x:c r="L22" s="148" t="str">
        <x:f>IF($H$5="手工录入","",IF($H$5="Asiacell","p."&amp;'OCR导入'!H17&amp;" · "&amp;'OCR导入'!I17,"p."&amp;'OCR导入'!H33&amp;" · "&amp;'OCR导入'!I33))</x:f>
        <x:v>p. · 未检出</x:v>
      </x:c>
      <x:c r="M22" s="148" t="str">
        <x:f>IF(ISNUMBER(I22),"人工覆盖",IF(LEFT(K22,3)="已核验","OCR核验值生效",IF(K22="缺失","缺失，不评分","待复核，不评分")))</x:f>
        <x:v>缺失，不评分</x:v>
      </x:c>
    </x:row>
    <x:row r="23" ht="34" customHeight="1">
      <x:c r="A23" s="64" t="str">
        <x:v>我方 AR</x:v>
      </x:c>
      <x:c r="B23" s="64" t="str">
        <x:v>对该客户的期末应收</x:v>
      </x:c>
      <x:c r="C23" s="64" t="str">
        <x:v>我方风险敞口</x:v>
      </x:c>
      <x:c r="D23" s="136" t="str">
        <x:f>IF(ISNUMBER(I23),I23,IF(LEFT(K23,3)="已核验",J23,""))</x:f>
      </x:c>
      <x:c r="E23" s="64" t="str">
        <x:v>币种单位</x:v>
      </x:c>
      <x:c r="F23" s="64"/>
      <x:c r="G23" s="97"/>
      <x:c r="H23" s="64"/>
      <x:c r="I23" s="146"/>
      <x:c r="J23" s="147" t="str">
        <x:f>IF($H$5="手工录入","",IF($H$5="Asiacell",IF(ISNUMBER('OCR导入'!D18),'OCR导入'!D18,""),IF(ISNUMBER('OCR导入'!D34),'OCR导入'!D34,"")))</x:f>
      </x:c>
      <x:c r="K23" s="148" t="str">
        <x:f>IF($H$5="手工录入","",IF($H$5="Asiacell",'OCR导入'!E18,'OCR导入'!E34))</x:f>
        <x:v>缺失</x:v>
      </x:c>
      <x:c r="L23" s="148" t="str">
        <x:f>IF($H$5="手工录入","",IF($H$5="Asiacell","p."&amp;'OCR导入'!H18&amp;" · "&amp;'OCR导入'!I18,"p."&amp;'OCR导入'!H34&amp;" · "&amp;'OCR导入'!I34))</x:f>
        <x:v>p. · 未检出</x:v>
      </x:c>
      <x:c r="M23" s="148" t="str">
        <x:f>IF(ISNUMBER(I23),"人工覆盖",IF(LEFT(K23,3)="已核验","OCR核验值生效",IF(K23="缺失","缺失，不评分","待复核，不评分")))</x:f>
        <x:v>缺失，不评分</x:v>
      </x:c>
    </x:row>
    <x:row r="24" ht="34" customHeight="1">
      <x:c r="A24" s="64" t="str">
        <x:v>可动用现金</x:v>
      </x:c>
      <x:c r="B24" s="64" t="str">
        <x:v>剔除受限现金</x:v>
      </x:c>
      <x:c r="C24" s="64" t="str">
        <x:v>我方风险敞口</x:v>
      </x:c>
      <x:c r="D24" s="136" t="str">
        <x:f>IF(ISNUMBER(I24),I24,IF(LEFT(K24,3)="已核验",J24,""))</x:f>
      </x:c>
      <x:c r="E24" s="64" t="str">
        <x:v>币种单位</x:v>
      </x:c>
      <x:c r="F24" s="64"/>
      <x:c r="G24" s="97"/>
      <x:c r="H24" s="64"/>
      <x:c r="I24" s="149"/>
      <x:c r="J24" s="150" t="n">
        <x:f>IF($H$5="手工录入","",IF($H$5="Asiacell",IF(ISNUMBER('OCR导入'!D19),'OCR导入'!D19,""),IF(ISNUMBER('OCR导入'!D35),'OCR导入'!D35,"")))</x:f>
        <x:v>362971</x:v>
      </x:c>
      <x:c r="K24" s="151" t="str">
        <x:f>IF($H$5="手工录入","",IF($H$5="Asiacell",'OCR导入'!E19,'OCR导入'!E35))</x:f>
        <x:v>待复核</x:v>
      </x:c>
      <x:c r="L24" s="151" t="str">
        <x:f>IF($H$5="手工录入","",IF($H$5="Asiacell","p."&amp;'OCR导入'!H19&amp;" · "&amp;'OCR导入'!I19,"p."&amp;'OCR导入'!H35&amp;" · "&amp;'OCR导入'!I35))</x:f>
        <x:v>p.2 · 以账面现金为上限；النقد 362,971</x:v>
      </x:c>
      <x:c r="M24" s="151" t="str">
        <x:f>IF(ISNUMBER(I24),"人工覆盖",IF(LEFT(K24,3)="已核验","OCR核验值生效",IF(K24="缺失","缺失，不评分","待复核，不评分")))</x:f>
        <x:v>待复核，不评分</x:v>
      </x:c>
    </x:row>
    <x:row r="25" ht="18" customHeight="1">
      <x:c r="A25" s="65" t="str">
        <x:v>FCF 接近零阈值</x:v>
      </x:c>
      <x:c r="B25" s="65" t="str">
        <x:v>绝对金额</x:v>
      </x:c>
      <x:c r="C25" s="65" t="str">
        <x:v>定义一般档的 ±区间</x:v>
      </x:c>
      <x:c r="D25" s="98" t="n">
        <x:v>0</x:v>
      </x:c>
      <x:c r="E25" s="65" t="str">
        <x:v>币种单位</x:v>
      </x:c>
      <x:c r="F25" s="65"/>
      <x:c r="G25" s="99"/>
      <x:c r="H25" s="65"/>
    </x:row>
    <x:row r="26" ht="18" customHeight="1">
      <x:c r="A26" s="100"/>
      <x:c r="B26" s="100"/>
      <x:c r="C26" s="100"/>
      <x:c r="D26" s="100"/>
      <x:c r="E26" s="100"/>
      <x:c r="F26" s="100"/>
      <x:c r="G26" s="100"/>
      <x:c r="H26" s="100"/>
    </x:row>
    <x:row r="27" ht="18" customHeight="1">
      <x:c r="A27" s="100"/>
      <x:c r="B27" s="100"/>
      <x:c r="C27" s="100"/>
      <x:c r="D27" s="100"/>
      <x:c r="E27" s="100"/>
      <x:c r="F27" s="100"/>
      <x:c r="G27" s="100"/>
      <x:c r="H27" s="100"/>
    </x:row>
    <x:row r="28" ht="18" customHeight="1">
      <x:c r="A28" s="100"/>
      <x:c r="B28" s="100"/>
      <x:c r="C28" s="100"/>
      <x:c r="D28" s="100"/>
      <x:c r="E28" s="100"/>
      <x:c r="F28" s="100"/>
      <x:c r="G28" s="100"/>
      <x:c r="H28" s="100"/>
    </x:row>
    <x:row r="29" ht="28" customHeight="1">
      <x:c r="A29" s="92" t="str">
        <x:v>Red Flag</x:v>
      </x:c>
      <x:c r="B29" s="92" t="str">
        <x:v>判断口径</x:v>
      </x:c>
      <x:c r="C29" s="92" t="str">
        <x:v>核验要求</x:v>
      </x:c>
      <x:c r="D29" s="92" t="str">
        <x:v>是/否</x:v>
      </x:c>
      <x:c r="E29" s="92" t="str">
        <x:v>证据/备注</x:v>
      </x:c>
      <x:c r="F29" s="100"/>
      <x:c r="G29" s="100"/>
      <x:c r="H29" s="100"/>
    </x:row>
    <x:row r="30" ht="28" customHeight="1">
      <x:c r="A30" s="63" t="str">
        <x:v>CFO 连续为负</x:v>
      </x:c>
      <x:c r="B30" s="63" t="str">
        <x:v>至少连续两个可比报告期</x:v>
      </x:c>
      <x:c r="C30" s="63" t="str">
        <x:v>核对现金流量表</x:v>
      </x:c>
      <x:c r="D30" s="101"/>
      <x:c r="E30" s="63"/>
      <x:c r="F30" s="100"/>
      <x:c r="G30" s="100"/>
      <x:c r="H30" s="100"/>
    </x:row>
    <x:row r="31" ht="28" customHeight="1">
      <x:c r="A31" s="64" t="str">
        <x:v>FCF 连续为负</x:v>
      </x:c>
      <x:c r="B31" s="64" t="str">
        <x:v>至少连续两个可比报告期</x:v>
      </x:c>
      <x:c r="C31" s="64" t="str">
        <x:v>CFO − Capex，同一口径</x:v>
      </x:c>
      <x:c r="D31" s="102"/>
      <x:c r="E31" s="64"/>
      <x:c r="F31" s="100"/>
      <x:c r="G31" s="100"/>
      <x:c r="H31" s="100"/>
    </x:row>
    <x:row r="32" ht="28" customHeight="1">
      <x:c r="A32" s="64" t="str">
        <x:v>DSO 持续上升</x:v>
      </x:c>
      <x:c r="B32" s="64" t="str">
        <x:v>至少连续三个可比期</x:v>
      </x:c>
      <x:c r="C32" s="64" t="str">
        <x:v>排除季节性与口径变化</x:v>
      </x:c>
      <x:c r="D32" s="102"/>
      <x:c r="E32" s="64"/>
      <x:c r="F32" s="100"/>
      <x:c r="G32" s="100"/>
      <x:c r="H32" s="100"/>
    </x:row>
    <x:row r="33" ht="28" customHeight="1">
      <x:c r="A33" s="64" t="str">
        <x:v>大额债务近期到期</x:v>
      </x:c>
      <x:c r="B33" s="64" t="str">
        <x:v>近期到期额对现金形成重大压力</x:v>
      </x:c>
      <x:c r="C33" s="64" t="str">
        <x:v>核对债务到期表和再融资</x:v>
      </x:c>
      <x:c r="D33" s="102"/>
      <x:c r="E33" s="64"/>
      <x:c r="F33" s="100"/>
      <x:c r="G33" s="100"/>
      <x:c r="H33" s="100"/>
    </x:row>
    <x:row r="34" ht="28" customHeight="1">
      <x:c r="A34" s="65" t="str">
        <x:v>审计报告出现持续经营风险</x:v>
      </x:c>
      <x:c r="B34" s="65" t="str">
        <x:v>审计意见或重大不确定性</x:v>
      </x:c>
      <x:c r="C34" s="65" t="str">
        <x:v>核对最新审计报告原文</x:v>
      </x:c>
      <x:c r="D34" s="103"/>
      <x:c r="E34" s="65"/>
      <x:c r="F34" s="100"/>
      <x:c r="G34" s="100"/>
      <x:c r="H34" s="100"/>
    </x:row>
    <x:row r="35" ht="18" customHeight="1">
      <x:c r="A35" s="2"/>
      <x:c r="B35" s="2"/>
      <x:c r="C35" s="2"/>
      <x:c r="D35" s="2"/>
      <x:c r="E35" s="2"/>
      <x:c r="F35" s="2"/>
      <x:c r="G35" s="2"/>
      <x:c r="H35" s="2"/>
    </x:row>
  </x:sheetData>
  <x:mergeCells>
    <x:mergeCell ref="E5:G5"/>
  </x:mergeCells>
  <x:conditionalFormatting sqref="D30:D34">
    <x:cfRule type="containsText" dxfId="6" priority="1" operator="containsText" text="是"/>
    <x:cfRule type="containsText" dxfId="7" priority="2" operator="containsText" text="否"/>
  </x:conditionalFormatting>
  <x:conditionalFormatting sqref="K11:K24">
    <x:cfRule type="containsText" dxfId="15" priority="3" operator="containsText" text="已核验"/>
    <x:cfRule type="containsText" dxfId="16" priority="4" operator="containsText" text="待复核"/>
    <x:cfRule type="containsText" dxfId="17" priority="5" operator="containsText" text="缺失"/>
  </x:conditionalFormatting>
  <x:dataValidations count="2">
    <x:dataValidation type="list" sqref="D30:D34">
      <x:formula1>"是,否"</x:formula1>
    </x:dataValidation>
    <x:dataValidation type="list" sqref="H5">
      <x:formula1>"Asiacell,Zain Iraq,手工录入"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24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9" hidden="0" customWidth="1"/>
    <x:col min="9" max="9" width="42" hidden="0" customWidth="1"/>
    <x:col min="10" max="10" width="38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扫描财报 OCR 导入结果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4" customHeight="1">
      <x:c r="A3" s="105" t="str">
        <x:v>只有“已核验”或“已核验-外部”的值可自动进入评分；待复核和缺失项必须人工确认。未保留整页OCR文本或源PDF。</x:v>
      </x:c>
      <x:c r="B3" s="100"/>
      <x:c r="C3" s="100"/>
      <x:c r="D3" s="100"/>
      <x:c r="E3" s="100"/>
      <x:c r="F3" s="100"/>
      <x:c r="G3" s="100"/>
      <x:c r="H3" s="100"/>
      <x:c r="I3" s="100"/>
      <x:c r="J3" s="100"/>
      <x:c r="K3" s="2"/>
    </x:row>
    <x:row r="4" ht="20" customHeight="1">
      <x:c r="A4" s="100"/>
      <x:c r="B4" s="100"/>
      <x:c r="C4" s="100"/>
      <x:c r="D4" s="100"/>
      <x:c r="E4" s="100"/>
      <x:c r="F4" s="100"/>
      <x:c r="G4" s="100"/>
      <x:c r="H4" s="100"/>
      <x:c r="I4" s="100"/>
      <x:c r="J4" s="100"/>
      <x:c r="K4" s="2"/>
    </x:row>
    <x:row r="5" ht="30" customHeight="1">
      <x:c r="A5" s="109" t="str">
        <x:v>客户</x:v>
      </x:c>
      <x:c r="B5" s="109" t="str">
        <x:v>代码</x:v>
      </x:c>
      <x:c r="C5" s="109" t="str">
        <x:v>字段</x:v>
      </x:c>
      <x:c r="D5" s="109" t="str">
        <x:v>数值</x:v>
      </x:c>
      <x:c r="E5" s="109" t="str">
        <x:v>状态</x:v>
      </x:c>
      <x:c r="F5" s="109" t="str">
        <x:v>报告期</x:v>
      </x:c>
      <x:c r="G5" s="109" t="str">
        <x:v>单位</x:v>
      </x:c>
      <x:c r="H5" s="109" t="str">
        <x:v>页码</x:v>
      </x:c>
      <x:c r="I5" s="109" t="str">
        <x:v>核验方法/证据</x:v>
      </x:c>
      <x:c r="J5" s="109" t="str">
        <x:v>备注</x:v>
      </x:c>
      <x:c r="K5" s="2"/>
    </x:row>
    <x:row r="6" ht="20" customHeight="1">
      <x:c r="A6" s="63" t="str">
        <x:v>Asiacell</x:v>
      </x:c>
      <x:c r="B6" s="63" t="str">
        <x:v>TASC</x:v>
      </x:c>
      <x:c r="C6" s="63" t="str">
        <x:v>现金及现金等价物</x:v>
      </x:c>
      <x:c r="D6" s="113" t="n">
        <x:v>362971</x:v>
      </x:c>
      <x:c r="E6" s="63" t="str">
        <x:v>已核验</x:v>
      </x:c>
      <x:c r="F6" s="63" t="str">
        <x:v>2026-06-30 / H1 2026</x:v>
      </x:c>
      <x:c r="G6" s="63" t="str">
        <x:v>IQD million</x:v>
      </x:c>
      <x:c r="H6" s="63" t="n">
        <x:v>2</x:v>
      </x:c>
      <x:c r="I6" s="63" t="str">
        <x:v>扫描页目视复核 + 期末现金勾稽；النقد 362,971</x:v>
      </x:c>
      <x:c r="J6" s="63" t="str"/>
      <x:c r="K6" s="2"/>
    </x:row>
    <x:row r="7" ht="20" customHeight="1">
      <x:c r="A7" s="64" t="str">
        <x:v>Asiacell</x:v>
      </x:c>
      <x:c r="B7" s="64" t="str">
        <x:v>TASC</x:v>
      </x:c>
      <x:c r="C7" s="64" t="str">
        <x:v>流动负债</x:v>
      </x:c>
      <x:c r="D7" s="114" t="n">
        <x:v>743121</x:v>
      </x:c>
      <x:c r="E7" s="64" t="str">
        <x:v>已核验</x:v>
      </x:c>
      <x:c r="F7" s="64" t="str">
        <x:v>2026-06-30 / H1 2026</x:v>
      </x:c>
      <x:c r="G7" s="64" t="str">
        <x:v>IQD million</x:v>
      </x:c>
      <x:c r="H7" s="64" t="n">
        <x:v>2</x:v>
      </x:c>
      <x:c r="I7" s="64" t="str">
        <x:v>扫描页目视复核 + 负债权益平衡；مجموع الالتزامات المتداولة 743,121</x:v>
      </x:c>
      <x:c r="J7" s="64" t="str"/>
      <x:c r="K7" s="2"/>
    </x:row>
    <x:row r="8" ht="20" customHeight="1">
      <x:c r="A8" s="64" t="str">
        <x:v>Asiacell</x:v>
      </x:c>
      <x:c r="B8" s="64" t="str">
        <x:v>TASC</x:v>
      </x:c>
      <x:c r="C8" s="64" t="str">
        <x:v>流动资产</x:v>
      </x:c>
      <x:c r="D8" s="114" t="n">
        <x:v>680435</x:v>
      </x:c>
      <x:c r="E8" s="64" t="str">
        <x:v>已核验</x:v>
      </x:c>
      <x:c r="F8" s="64" t="str">
        <x:v>2026-06-30 / H1 2026</x:v>
      </x:c>
      <x:c r="G8" s="64" t="str">
        <x:v>IQD million</x:v>
      </x:c>
      <x:c r="H8" s="64" t="n">
        <x:v>2</x:v>
      </x:c>
      <x:c r="I8" s="64" t="str">
        <x:v>扫描页目视复核 + 分项加总；مجموع الأصول المتداولة 680,435</x:v>
      </x:c>
      <x:c r="J8" s="64" t="str"/>
      <x:c r="K8" s="2"/>
    </x:row>
    <x:row r="9" ht="20" customHeight="1">
      <x:c r="A9" s="64" t="str">
        <x:v>Asiacell</x:v>
      </x:c>
      <x:c r="B9" s="64" t="str">
        <x:v>TASC</x:v>
      </x:c>
      <x:c r="C9" s="64" t="str">
        <x:v>经营现金流 CFO</x:v>
      </x:c>
      <x:c r="D9" s="114" t="n">
        <x:v>287775</x:v>
      </x:c>
      <x:c r="E9" s="64" t="str">
        <x:v>已核验</x:v>
      </x:c>
      <x:c r="F9" s="64" t="str">
        <x:v>2026-06-30 / H1 2026</x:v>
      </x:c>
      <x:c r="G9" s="64" t="str">
        <x:v>IQD million</x:v>
      </x:c>
      <x:c r="H9" s="64" t="n">
        <x:v>4</x:v>
      </x:c>
      <x:c r="I9" s="64" t="str">
        <x:v>扫描页目视复核 + 现金变动勾稽；صافي التدفقات النقدية من الأنشطة التشغيلية 287,775</x:v>
      </x:c>
      <x:c r="J9" s="64" t="str"/>
      <x:c r="K9" s="2"/>
    </x:row>
    <x:row r="10" ht="20" customHeight="1">
      <x:c r="A10" s="64" t="str">
        <x:v>Asiacell</x:v>
      </x:c>
      <x:c r="B10" s="64" t="str">
        <x:v>TASC</x:v>
      </x:c>
      <x:c r="C10" s="64" t="str">
        <x:v>资本开支 Capex</x:v>
      </x:c>
      <x:c r="D10" s="114" t="n">
        <x:v>124088</x:v>
      </x:c>
      <x:c r="E10" s="64" t="str">
        <x:v>已核验</x:v>
      </x:c>
      <x:c r="F10" s="64" t="str">
        <x:v>2026-06-30 / H1 2026</x:v>
      </x:c>
      <x:c r="G10" s="64" t="str">
        <x:v>IQD million</x:v>
      </x:c>
      <x:c r="H10" s="64" t="n">
        <x:v>4</x:v>
      </x:c>
      <x:c r="I10" s="64" t="str">
        <x:v>扫描页目视复核；现金流口径；شراء الموجودات الثابتة والمشروعات تحت التنفيذ (124,088)</x:v>
      </x:c>
      <x:c r="J10" s="64" t="str"/>
      <x:c r="K10" s="2"/>
    </x:row>
    <x:row r="11" ht="20" customHeight="1">
      <x:c r="A11" s="64" t="str">
        <x:v>Asiacell</x:v>
      </x:c>
      <x:c r="B11" s="64" t="str">
        <x:v>TASC</x:v>
      </x:c>
      <x:c r="C11" s="64" t="str">
        <x:v>EBITDA</x:v>
      </x:c>
      <x:c r="D11" s="114" t="n">
        <x:v>454493</x:v>
      </x:c>
      <x:c r="E11" s="64" t="str">
        <x:v>已核验-外部</x:v>
      </x:c>
      <x:c r="F11" s="64" t="str">
        <x:v>2026-06-30 / H1 2026</x:v>
      </x:c>
      <x:c r="G11" s="64" t="str">
        <x:v>IQD million</x:v>
      </x:c>
      <x:c r="H11" s="64" t="n">
        <x:v>3</x:v>
      </x:c>
      <x:c r="I11" s="64" t="str">
        <x:v>官方Ooredoo分部表交叉核验；Q1 220,614 + Q2 233,879 = H1 454,493</x:v>
      </x:c>
      <x:c r="J11" s="64" t="str">
        <x:v>扫描报表未直接列示EBITDA；以同周期官方经营分部数据补充</x:v>
      </x:c>
      <x:c r="K11" s="2"/>
    </x:row>
    <x:row r="12" ht="20" customHeight="1">
      <x:c r="A12" s="64" t="str">
        <x:v>Asiacell</x:v>
      </x:c>
      <x:c r="B12" s="64" t="str">
        <x:v>TASC</x:v>
      </x:c>
      <x:c r="C12" s="64" t="str">
        <x:v>有息负债</x:v>
      </x:c>
      <x:c r="D12" s="114" t="n">
        <x:v>452335</x:v>
      </x:c>
      <x:c r="E12" s="64" t="str">
        <x:v>待复核</x:v>
      </x:c>
      <x:c r="F12" s="64" t="str">
        <x:v>2026-06-30 / H1 2026</x:v>
      </x:c>
      <x:c r="G12" s="64" t="str">
        <x:v>IQD million</x:v>
      </x:c>
      <x:c r="H12" s="64" t="n">
        <x:v>2</x:v>
      </x:c>
      <x:c r="I12" s="64" t="str">
        <x:v>债务及租赁负债分项加总；138,529 + 93,634 + 175,291 + 44,881</x:v>
      </x:c>
      <x:c r="J12" s="64" t="str">
        <x:v>需确认租赁负债和长期负债是否全部计息</x:v>
      </x:c>
      <x:c r="K12" s="2"/>
    </x:row>
    <x:row r="13" ht="20" customHeight="1">
      <x:c r="A13" s="64" t="str">
        <x:v>Asiacell</x:v>
      </x:c>
      <x:c r="B13" s="64" t="str">
        <x:v>TASC</x:v>
      </x:c>
      <x:c r="C13" s="64" t="str">
        <x:v>利息费用</x:v>
      </x:c>
      <x:c r="D13" s="114"/>
      <x:c r="E13" s="64" t="str">
        <x:v>缺失</x:v>
      </x:c>
      <x:c r="F13" s="64" t="str">
        <x:v>2026-06-30 / H1 2026</x:v>
      </x:c>
      <x:c r="G13" s="64" t="str">
        <x:v>IQD million</x:v>
      </x:c>
      <x:c r="H13" s="64"/>
      <x:c r="I13" s="64" t="str">
        <x:v>未检出</x:v>
      </x:c>
      <x:c r="J13" s="64" t="str">
        <x:v>本扫描报表未单独列示</x:v>
      </x:c>
      <x:c r="K13" s="2"/>
    </x:row>
    <x:row r="14" ht="20" customHeight="1">
      <x:c r="A14" s="64" t="str">
        <x:v>Asiacell</x:v>
      </x:c>
      <x:c r="B14" s="64" t="str">
        <x:v>TASC</x:v>
      </x:c>
      <x:c r="C14" s="64" t="str">
        <x:v>应收账款 AR</x:v>
      </x:c>
      <x:c r="D14" s="114" t="n">
        <x:v>113537</x:v>
      </x:c>
      <x:c r="E14" s="64" t="str">
        <x:v>已核验</x:v>
      </x:c>
      <x:c r="F14" s="64" t="str">
        <x:v>2026-06-30 / H1 2026</x:v>
      </x:c>
      <x:c r="G14" s="64" t="str">
        <x:v>IQD million</x:v>
      </x:c>
      <x:c r="H14" s="64" t="n">
        <x:v>2</x:v>
      </x:c>
      <x:c r="I14" s="64" t="str">
        <x:v>扫描页目视复核；الذمم المدينة 113,537</x:v>
      </x:c>
      <x:c r="J14" s="64" t="str"/>
      <x:c r="K14" s="2"/>
    </x:row>
    <x:row r="15" ht="20" customHeight="1">
      <x:c r="A15" s="64" t="str">
        <x:v>Asiacell</x:v>
      </x:c>
      <x:c r="B15" s="64" t="str">
        <x:v>TASC</x:v>
      </x:c>
      <x:c r="C15" s="64" t="str">
        <x:v>Revenue</x:v>
      </x:c>
      <x:c r="D15" s="114" t="n">
        <x:v>1006430</x:v>
      </x:c>
      <x:c r="E15" s="64" t="str">
        <x:v>已核验-外部</x:v>
      </x:c>
      <x:c r="F15" s="64" t="str">
        <x:v>2026-06-30 / H1 2026</x:v>
      </x:c>
      <x:c r="G15" s="64" t="str">
        <x:v>IQD million</x:v>
      </x:c>
      <x:c r="H15" s="64" t="n">
        <x:v>3</x:v>
      </x:c>
      <x:c r="I15" s="64" t="str">
        <x:v>扫描页目视复核 + Ooredoo季度加总交叉核验；إيرادات النشاط الجاري 1,006,430</x:v>
      </x:c>
      <x:c r="J15" s="64" t="str"/>
      <x:c r="K15" s="2"/>
    </x:row>
    <x:row r="16" ht="20" customHeight="1">
      <x:c r="A16" s="64" t="str">
        <x:v>Asiacell</x:v>
      </x:c>
      <x:c r="B16" s="64" t="str">
        <x:v>TASC</x:v>
      </x:c>
      <x:c r="C16" s="64" t="str">
        <x:v>应付账款 AP</x:v>
      </x:c>
      <x:c r="D16" s="114" t="n">
        <x:v>567830</x:v>
      </x:c>
      <x:c r="E16" s="64" t="str">
        <x:v>已核验</x:v>
      </x:c>
      <x:c r="F16" s="64" t="str">
        <x:v>2026-06-30 / H1 2026</x:v>
      </x:c>
      <x:c r="G16" s="64" t="str">
        <x:v>IQD million</x:v>
      </x:c>
      <x:c r="H16" s="64" t="n">
        <x:v>2</x:v>
      </x:c>
      <x:c r="I16" s="64" t="str">
        <x:v>扫描页目视复核；الذمم الدائنة 567,830</x:v>
      </x:c>
      <x:c r="J16" s="64" t="str"/>
      <x:c r="K16" s="2"/>
    </x:row>
    <x:row r="17" ht="20" customHeight="1">
      <x:c r="A17" s="64" t="str">
        <x:v>Asiacell</x:v>
      </x:c>
      <x:c r="B17" s="64" t="str">
        <x:v>TASC</x:v>
      </x:c>
      <x:c r="C17" s="64" t="str">
        <x:v>COGS</x:v>
      </x:c>
      <x:c r="D17" s="114"/>
      <x:c r="E17" s="64" t="str">
        <x:v>缺失</x:v>
      </x:c>
      <x:c r="F17" s="64" t="str">
        <x:v>2026-06-30 / H1 2026</x:v>
      </x:c>
      <x:c r="G17" s="64" t="str">
        <x:v>IQD million</x:v>
      </x:c>
      <x:c r="H17" s="64"/>
      <x:c r="I17" s="64" t="str">
        <x:v>未检出</x:v>
      </x:c>
      <x:c r="J17" s="64" t="str">
        <x:v>报表仅列经营费用，无法与模型COGS口径一一对应</x:v>
      </x:c>
      <x:c r="K17" s="2"/>
    </x:row>
    <x:row r="18" ht="20" customHeight="1">
      <x:c r="A18" s="64" t="str">
        <x:v>Asiacell</x:v>
      </x:c>
      <x:c r="B18" s="64" t="str">
        <x:v>TASC</x:v>
      </x:c>
      <x:c r="C18" s="64" t="str">
        <x:v>我方 AR</x:v>
      </x:c>
      <x:c r="D18" s="114"/>
      <x:c r="E18" s="64" t="str">
        <x:v>缺失</x:v>
      </x:c>
      <x:c r="F18" s="64" t="str">
        <x:v>2026-06-30 / H1 2026</x:v>
      </x:c>
      <x:c r="G18" s="64" t="str">
        <x:v>IQD million</x:v>
      </x:c>
      <x:c r="H18" s="64"/>
      <x:c r="I18" s="64" t="str">
        <x:v>未检出</x:v>
      </x:c>
      <x:c r="J18" s="64" t="str">
        <x:v>内部数据，公开财报不提供</x:v>
      </x:c>
      <x:c r="K18" s="2"/>
    </x:row>
    <x:row r="19" ht="20" customHeight="1">
      <x:c r="A19" s="65" t="str">
        <x:v>Asiacell</x:v>
      </x:c>
      <x:c r="B19" s="65" t="str">
        <x:v>TASC</x:v>
      </x:c>
      <x:c r="C19" s="65" t="str">
        <x:v>可动用现金</x:v>
      </x:c>
      <x:c r="D19" s="115" t="n">
        <x:v>362971</x:v>
      </x:c>
      <x:c r="E19" s="65" t="str">
        <x:v>待复核</x:v>
      </x:c>
      <x:c r="F19" s="65" t="str">
        <x:v>2026-06-30 / H1 2026</x:v>
      </x:c>
      <x:c r="G19" s="65" t="str">
        <x:v>IQD million</x:v>
      </x:c>
      <x:c r="H19" s="65" t="n">
        <x:v>2</x:v>
      </x:c>
      <x:c r="I19" s="65" t="str">
        <x:v>以账面现金为上限；النقد 362,971</x:v>
      </x:c>
      <x:c r="J19" s="65" t="str">
        <x:v>需核对受限现金附注，不能直接视为全部可动用</x:v>
      </x:c>
      <x:c r="K19" s="2"/>
    </x:row>
    <x:row r="20" ht="20" customHeight="1">
      <x:c r="A20" s="100"/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2"/>
    </x:row>
    <x:row r="21" ht="30" customHeight="1">
      <x:c r="A21" s="109" t="str">
        <x:v>客户</x:v>
      </x:c>
      <x:c r="B21" s="109" t="str">
        <x:v>代码</x:v>
      </x:c>
      <x:c r="C21" s="109" t="str">
        <x:v>字段</x:v>
      </x:c>
      <x:c r="D21" s="109" t="str">
        <x:v>数值</x:v>
      </x:c>
      <x:c r="E21" s="109" t="str">
        <x:v>状态</x:v>
      </x:c>
      <x:c r="F21" s="109" t="str">
        <x:v>报告期</x:v>
      </x:c>
      <x:c r="G21" s="109" t="str">
        <x:v>单位</x:v>
      </x:c>
      <x:c r="H21" s="109" t="str">
        <x:v>页码</x:v>
      </x:c>
      <x:c r="I21" s="109" t="str">
        <x:v>核验方法/证据</x:v>
      </x:c>
      <x:c r="J21" s="109" t="str">
        <x:v>备注</x:v>
      </x:c>
      <x:c r="K21" s="2"/>
    </x:row>
    <x:row r="22" ht="20" customHeight="1">
      <x:c r="A22" s="63" t="str">
        <x:v>Zain Iraq</x:v>
      </x:c>
      <x:c r="B22" s="63" t="str">
        <x:v>TZNI</x:v>
      </x:c>
      <x:c r="C22" s="63" t="str">
        <x:v>现金及现金等价物</x:v>
      </x:c>
      <x:c r="D22" s="113" t="n">
        <x:v>139867</x:v>
      </x:c>
      <x:c r="E22" s="63" t="str">
        <x:v>已核验</x:v>
      </x:c>
      <x:c r="F22" s="63" t="str">
        <x:v>2026-06-30 / H1 2026</x:v>
      </x:c>
      <x:c r="G22" s="63" t="str">
        <x:v>IQD million</x:v>
      </x:c>
      <x:c r="H22" s="63" t="n">
        <x:v>4</x:v>
      </x:c>
      <x:c r="I22" s="63" t="str">
        <x:v>资产负债表 + 现金流量表双页复核；صافي النقود 139,867</x:v>
      </x:c>
      <x:c r="J22" s="63" t="str"/>
      <x:c r="K22" s="2"/>
    </x:row>
    <x:row r="23" ht="20" customHeight="1">
      <x:c r="A23" s="64" t="str">
        <x:v>Zain Iraq</x:v>
      </x:c>
      <x:c r="B23" s="64" t="str">
        <x:v>TZNI</x:v>
      </x:c>
      <x:c r="C23" s="64" t="str">
        <x:v>流动负债</x:v>
      </x:c>
      <x:c r="D23" s="114" t="n">
        <x:v>994975</x:v>
      </x:c>
      <x:c r="E23" s="64" t="str">
        <x:v>已核验</x:v>
      </x:c>
      <x:c r="F23" s="64" t="str">
        <x:v>2026-06-30 / H1 2026</x:v>
      </x:c>
      <x:c r="G23" s="64" t="str">
        <x:v>IQD million</x:v>
      </x:c>
      <x:c r="H23" s="64" t="n">
        <x:v>5</x:v>
      </x:c>
      <x:c r="I23" s="64" t="str">
        <x:v>扫描页目视复核 + 负债权益平衡；مجموع الالتزامات المتداولة 994,975</x:v>
      </x:c>
      <x:c r="J23" s="64" t="str"/>
      <x:c r="K23" s="2"/>
    </x:row>
    <x:row r="24" ht="20" customHeight="1">
      <x:c r="A24" s="64" t="str">
        <x:v>Zain Iraq</x:v>
      </x:c>
      <x:c r="B24" s="64" t="str">
        <x:v>TZNI</x:v>
      </x:c>
      <x:c r="C24" s="64" t="str">
        <x:v>流动资产</x:v>
      </x:c>
      <x:c r="D24" s="114" t="n">
        <x:v>995446</x:v>
      </x:c>
      <x:c r="E24" s="64" t="str">
        <x:v>已核验</x:v>
      </x:c>
      <x:c r="F24" s="64" t="str">
        <x:v>2026-06-30 / H1 2026</x:v>
      </x:c>
      <x:c r="G24" s="64" t="str">
        <x:v>IQD million</x:v>
      </x:c>
      <x:c r="H24" s="64" t="n">
        <x:v>4</x:v>
      </x:c>
      <x:c r="I24" s="64" t="str">
        <x:v>扫描页目视复核；مجموع الأصول المتداولة 995,446</x:v>
      </x:c>
      <x:c r="J24" s="64" t="str"/>
      <x:c r="K24" s="2"/>
    </x:row>
    <x:row r="25" ht="20" customHeight="1">
      <x:c r="A25" s="64" t="str">
        <x:v>Zain Iraq</x:v>
      </x:c>
      <x:c r="B25" s="64" t="str">
        <x:v>TZNI</x:v>
      </x:c>
      <x:c r="C25" s="64" t="str">
        <x:v>经营现金流 CFO</x:v>
      </x:c>
      <x:c r="D25" s="114" t="n">
        <x:v>-186909</x:v>
      </x:c>
      <x:c r="E25" s="64" t="str">
        <x:v>已核验</x:v>
      </x:c>
      <x:c r="F25" s="64" t="str">
        <x:v>2026-06-30 / H1 2026</x:v>
      </x:c>
      <x:c r="G25" s="64" t="str">
        <x:v>IQD million</x:v>
      </x:c>
      <x:c r="H25" s="64" t="n">
        <x:v>8</x:v>
      </x:c>
      <x:c r="I25" s="64" t="str">
        <x:v>扫描页目视复核 + 现金变动勾稽；صافي النقد الناتج من الانشطة التشغيلية (186,909)</x:v>
      </x:c>
      <x:c r="J25" s="64" t="str"/>
      <x:c r="K25" s="2"/>
    </x:row>
    <x:row r="26" ht="20" customHeight="1">
      <x:c r="A26" s="64" t="str">
        <x:v>Zain Iraq</x:v>
      </x:c>
      <x:c r="B26" s="64" t="str">
        <x:v>TZNI</x:v>
      </x:c>
      <x:c r="C26" s="64" t="str">
        <x:v>资本开支 Capex</x:v>
      </x:c>
      <x:c r="D26" s="114" t="n">
        <x:v>223993</x:v>
      </x:c>
      <x:c r="E26" s="64" t="str">
        <x:v>已核验</x:v>
      </x:c>
      <x:c r="F26" s="64" t="str">
        <x:v>2026-06-30 / H1 2026</x:v>
      </x:c>
      <x:c r="G26" s="64" t="str">
        <x:v>IQD million</x:v>
      </x:c>
      <x:c r="H26" s="64" t="n">
        <x:v>8</x:v>
      </x:c>
      <x:c r="I26" s="64" t="str">
        <x:v>扫描页目视复核；现金流口径；زيادة في الموجودات الثابتة خلال السنة (223,993)</x:v>
      </x:c>
      <x:c r="J26" s="64" t="str"/>
      <x:c r="K26" s="2"/>
    </x:row>
    <x:row r="27" ht="20" customHeight="1">
      <x:c r="A27" s="64" t="str">
        <x:v>Zain Iraq</x:v>
      </x:c>
      <x:c r="B27" s="64" t="str">
        <x:v>TZNI</x:v>
      </x:c>
      <x:c r="C27" s="64" t="str">
        <x:v>EBITDA</x:v>
      </x:c>
      <x:c r="D27" s="114" t="n">
        <x:v>299181</x:v>
      </x:c>
      <x:c r="E27" s="64" t="str">
        <x:v>待复核</x:v>
      </x:c>
      <x:c r="F27" s="64" t="str">
        <x:v>2026-06-30 / H1 2026</x:v>
      </x:c>
      <x:c r="G27" s="64" t="str">
        <x:v>IQD million</x:v>
      </x:c>
      <x:c r="H27" s="64" t="n">
        <x:v>6</x:v>
      </x:c>
      <x:c r="I27" s="64" t="str">
        <x:v>经营盈余+利息+折旧摊销推导；107,216 + 46,960 + 145,005 = 299,181</x:v>
      </x:c>
      <x:c r="J27" s="64" t="str">
        <x:v>扫描报表未直接列示EBITDA；需与集团口径最终确认</x:v>
      </x:c>
      <x:c r="K27" s="2"/>
    </x:row>
    <x:row r="28" ht="20" customHeight="1">
      <x:c r="A28" s="64" t="str">
        <x:v>Zain Iraq</x:v>
      </x:c>
      <x:c r="B28" s="64" t="str">
        <x:v>TZNI</x:v>
      </x:c>
      <x:c r="C28" s="64" t="str">
        <x:v>有息负债</x:v>
      </x:c>
      <x:c r="D28" s="114" t="n">
        <x:v>1157095</x:v>
      </x:c>
      <x:c r="E28" s="64" t="str">
        <x:v>待复核</x:v>
      </x:c>
      <x:c r="F28" s="64" t="str">
        <x:v>2026-06-30 / H1 2026</x:v>
      </x:c>
      <x:c r="G28" s="64" t="str">
        <x:v>IQD million</x:v>
      </x:c>
      <x:c r="H28" s="64" t="n">
        <x:v>5</x:v>
      </x:c>
      <x:c r="I28" s="64" t="str">
        <x:v>长短期负债及租赁负债加总；96,748 + 740,520 + 224,639 + 95,188</x:v>
      </x:c>
      <x:c r="J28" s="64" t="str">
        <x:v>需确认各负债项目计息属性</x:v>
      </x:c>
      <x:c r="K28" s="2"/>
    </x:row>
    <x:row r="29" ht="20" customHeight="1">
      <x:c r="A29" s="64" t="str">
        <x:v>Zain Iraq</x:v>
      </x:c>
      <x:c r="B29" s="64" t="str">
        <x:v>TZNI</x:v>
      </x:c>
      <x:c r="C29" s="64" t="str">
        <x:v>利息费用</x:v>
      </x:c>
      <x:c r="D29" s="114" t="n">
        <x:v>46960</x:v>
      </x:c>
      <x:c r="E29" s="64" t="str">
        <x:v>已核验</x:v>
      </x:c>
      <x:c r="F29" s="64" t="str">
        <x:v>2026-06-30 / H1 2026</x:v>
      </x:c>
      <x:c r="G29" s="64" t="str">
        <x:v>IQD million</x:v>
      </x:c>
      <x:c r="H29" s="64" t="n">
        <x:v>6</x:v>
      </x:c>
      <x:c r="I29" s="64" t="str">
        <x:v>扫描页目视复核；فوائد مدينة (46,960)</x:v>
      </x:c>
      <x:c r="J29" s="64" t="str"/>
      <x:c r="K29" s="2"/>
    </x:row>
    <x:row r="30" ht="20" customHeight="1">
      <x:c r="A30" s="64" t="str">
        <x:v>Zain Iraq</x:v>
      </x:c>
      <x:c r="B30" s="64" t="str">
        <x:v>TZNI</x:v>
      </x:c>
      <x:c r="C30" s="64" t="str">
        <x:v>应收账款 AR</x:v>
      </x:c>
      <x:c r="D30" s="114" t="n">
        <x:v>558304</x:v>
      </x:c>
      <x:c r="E30" s="64" t="str">
        <x:v>已核验</x:v>
      </x:c>
      <x:c r="F30" s="64" t="str">
        <x:v>2026-06-30 / H1 2026</x:v>
      </x:c>
      <x:c r="G30" s="64" t="str">
        <x:v>IQD million</x:v>
      </x:c>
      <x:c r="H30" s="64" t="n">
        <x:v>4</x:v>
      </x:c>
      <x:c r="I30" s="64" t="str">
        <x:v>应收账款扣除坏账准备；615,408 - 57,104 = 558,304</x:v>
      </x:c>
      <x:c r="J30" s="64" t="str"/>
      <x:c r="K30" s="2"/>
    </x:row>
    <x:row r="31" ht="20" customHeight="1">
      <x:c r="A31" s="64" t="str">
        <x:v>Zain Iraq</x:v>
      </x:c>
      <x:c r="B31" s="64" t="str">
        <x:v>TZNI</x:v>
      </x:c>
      <x:c r="C31" s="64" t="str">
        <x:v>Revenue</x:v>
      </x:c>
      <x:c r="D31" s="114" t="n">
        <x:v>870817</x:v>
      </x:c>
      <x:c r="E31" s="64" t="str">
        <x:v>已核验-外部</x:v>
      </x:c>
      <x:c r="F31" s="64" t="str">
        <x:v>2026-06-30 / H1 2026</x:v>
      </x:c>
      <x:c r="G31" s="64" t="str">
        <x:v>IQD million</x:v>
      </x:c>
      <x:c r="H31" s="64" t="n">
        <x:v>6</x:v>
      </x:c>
      <x:c r="I31" s="64" t="str">
        <x:v>扫描页目视复核 + Zain集团H1披露换算交叉核验；إيراد النشاط الجاري 870,817</x:v>
      </x:c>
      <x:c r="J31" s="64" t="str"/>
      <x:c r="K31" s="2"/>
    </x:row>
    <x:row r="32" ht="20" customHeight="1">
      <x:c r="A32" s="64" t="str">
        <x:v>Zain Iraq</x:v>
      </x:c>
      <x:c r="B32" s="64" t="str">
        <x:v>TZNI</x:v>
      </x:c>
      <x:c r="C32" s="64" t="str">
        <x:v>应付账款 AP</x:v>
      </x:c>
      <x:c r="D32" s="114" t="n">
        <x:v>770336</x:v>
      </x:c>
      <x:c r="E32" s="64" t="str">
        <x:v>已核验</x:v>
      </x:c>
      <x:c r="F32" s="64" t="str">
        <x:v>2026-06-30 / H1 2026</x:v>
      </x:c>
      <x:c r="G32" s="64" t="str">
        <x:v>IQD million</x:v>
      </x:c>
      <x:c r="H32" s="64" t="n">
        <x:v>5</x:v>
      </x:c>
      <x:c r="I32" s="64" t="str">
        <x:v>扫描页目视复核；الذمم الدائنة 770,336</x:v>
      </x:c>
      <x:c r="J32" s="64" t="str"/>
      <x:c r="K32" s="2"/>
    </x:row>
    <x:row r="33" ht="20" customHeight="1">
      <x:c r="A33" s="64" t="str">
        <x:v>Zain Iraq</x:v>
      </x:c>
      <x:c r="B33" s="64" t="str">
        <x:v>TZNI</x:v>
      </x:c>
      <x:c r="C33" s="64" t="str">
        <x:v>COGS</x:v>
      </x:c>
      <x:c r="D33" s="114" t="n">
        <x:v>170055</x:v>
      </x:c>
      <x:c r="E33" s="64" t="str">
        <x:v>已核验</x:v>
      </x:c>
      <x:c r="F33" s="64" t="str">
        <x:v>2026-06-30 / H1 2026</x:v>
      </x:c>
      <x:c r="G33" s="64" t="str">
        <x:v>IQD million</x:v>
      </x:c>
      <x:c r="H33" s="64" t="n">
        <x:v>6</x:v>
      </x:c>
      <x:c r="I33" s="64" t="str">
        <x:v>扫描页目视复核；COGS (170,055)</x:v>
      </x:c>
      <x:c r="J33" s="64" t="str">
        <x:v>不含CMC监管分成111,547</x:v>
      </x:c>
      <x:c r="K33" s="2"/>
    </x:row>
    <x:row r="34" ht="20" customHeight="1">
      <x:c r="A34" s="64" t="str">
        <x:v>Zain Iraq</x:v>
      </x:c>
      <x:c r="B34" s="64" t="str">
        <x:v>TZNI</x:v>
      </x:c>
      <x:c r="C34" s="64" t="str">
        <x:v>我方 AR</x:v>
      </x:c>
      <x:c r="D34" s="114"/>
      <x:c r="E34" s="64" t="str">
        <x:v>缺失</x:v>
      </x:c>
      <x:c r="F34" s="64" t="str">
        <x:v>2026-06-30 / H1 2026</x:v>
      </x:c>
      <x:c r="G34" s="64" t="str">
        <x:v>IQD million</x:v>
      </x:c>
      <x:c r="H34" s="64"/>
      <x:c r="I34" s="64" t="str">
        <x:v>未检出</x:v>
      </x:c>
      <x:c r="J34" s="64" t="str">
        <x:v>内部数据，公开财报不提供</x:v>
      </x:c>
      <x:c r="K34" s="2"/>
    </x:row>
    <x:row r="35" ht="20" customHeight="1">
      <x:c r="A35" s="65" t="str">
        <x:v>Zain Iraq</x:v>
      </x:c>
      <x:c r="B35" s="65" t="str">
        <x:v>TZNI</x:v>
      </x:c>
      <x:c r="C35" s="65" t="str">
        <x:v>可动用现金</x:v>
      </x:c>
      <x:c r="D35" s="115" t="n">
        <x:v>139867</x:v>
      </x:c>
      <x:c r="E35" s="65" t="str">
        <x:v>待复核</x:v>
      </x:c>
      <x:c r="F35" s="65" t="str">
        <x:v>2026-06-30 / H1 2026</x:v>
      </x:c>
      <x:c r="G35" s="65" t="str">
        <x:v>IQD million</x:v>
      </x:c>
      <x:c r="H35" s="65" t="n">
        <x:v>4</x:v>
      </x:c>
      <x:c r="I35" s="65" t="str">
        <x:v>以账面现金为上限；صافي النقود 139,867</x:v>
      </x:c>
      <x:c r="J35" s="65" t="str">
        <x:v>需核对受限现金附注，不能直接视为全部可动用</x:v>
      </x:c>
      <x:c r="K35" s="2"/>
    </x:row>
    <x:row r="36" ht="20" customHeight="1">
      <x:c r="A36" s="100"/>
      <x:c r="B36" s="100"/>
      <x:c r="C36" s="100"/>
      <x:c r="D36" s="100"/>
      <x:c r="E36" s="100"/>
      <x:c r="F36" s="100"/>
      <x:c r="G36" s="100"/>
      <x:c r="H36" s="100"/>
      <x:c r="I36" s="100"/>
      <x:c r="J36" s="100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J2"/>
    <x:mergeCell ref="A3:J3"/>
  </x:mergeCells>
  <x:conditionalFormatting sqref="E6:E19">
    <x:cfRule type="containsText" dxfId="8" priority="1" operator="containsText" text="已核验"/>
    <x:cfRule type="containsText" dxfId="9" priority="2" operator="containsText" text="待复核"/>
    <x:cfRule type="containsText" dxfId="10" priority="3" operator="containsText" text="缺失"/>
  </x:conditionalFormatting>
  <x:conditionalFormatting sqref="E22:E35">
    <x:cfRule type="containsText" dxfId="11" priority="4" operator="containsText" text="已核验"/>
    <x:cfRule type="containsText" dxfId="12" priority="5" operator="containsText" text="待复核"/>
    <x:cfRule type="containsText" dxfId="13" priority="6" operator="containsText" text="缺失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4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6" customHeight="1">
      <x:c r="A2" s="3" t="str">
        <x:v>OCR 财务勾稽核验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4" customHeight="1">
      <x:c r="A3" s="105" t="str">
        <x:v>资产负债平衡、分项加总和现金滚存均须通过；原始扫描件按SHA-256锁定，文件变化后状态自动降为复核。</x:v>
      </x:c>
      <x:c r="B3" s="100"/>
      <x:c r="C3" s="100"/>
      <x:c r="D3" s="100"/>
      <x:c r="E3" s="100"/>
      <x:c r="F3" s="100"/>
      <x:c r="G3" s="100"/>
      <x:c r="H3" s="2"/>
      <x:c r="I3" s="2"/>
      <x:c r="J3" s="2"/>
      <x:c r="K3" s="2"/>
    </x:row>
    <x:row r="4" ht="22" customHeight="1">
      <x:c r="A4" s="100"/>
      <x:c r="B4" s="100"/>
      <x:c r="C4" s="100"/>
      <x:c r="D4" s="100"/>
      <x:c r="E4" s="100"/>
      <x:c r="F4" s="100"/>
      <x:c r="G4" s="100"/>
      <x:c r="H4" s="2"/>
      <x:c r="I4" s="2"/>
      <x:c r="J4" s="2"/>
      <x:c r="K4" s="2"/>
    </x:row>
    <x:row r="5" ht="22" customHeight="1">
      <x:c r="A5" s="122" t="str">
        <x:v>客户</x:v>
      </x:c>
      <x:c r="B5" s="122" t="str">
        <x:v>核验项目</x:v>
      </x:c>
      <x:c r="C5" s="122" t="str">
        <x:v>左值</x:v>
      </x:c>
      <x:c r="D5" s="122" t="str">
        <x:v>右值</x:v>
      </x:c>
      <x:c r="E5" s="122" t="str">
        <x:v>差额</x:v>
      </x:c>
      <x:c r="F5" s="122" t="str">
        <x:v>结果</x:v>
      </x:c>
      <x:c r="G5" s="122" t="str">
        <x:v>说明</x:v>
      </x:c>
      <x:c r="H5" s="2"/>
      <x:c r="I5" s="2"/>
      <x:c r="J5" s="2"/>
      <x:c r="K5" s="2"/>
    </x:row>
    <x:row r="6" ht="22" customHeight="1">
      <x:c r="A6" s="63" t="str">
        <x:v>Asiacell</x:v>
      </x:c>
      <x:c r="B6" s="63" t="str">
        <x:v>流动资产分项加总</x:v>
      </x:c>
      <x:c r="C6" s="113" t="n">
        <x:v>680435</x:v>
      </x:c>
      <x:c r="D6" s="113" t="n">
        <x:v>680435</x:v>
      </x:c>
      <x:c r="E6" s="113" t="n">
        <x:v>0</x:v>
      </x:c>
      <x:c r="F6" s="63" t="str">
        <x:v>通过</x:v>
      </x:c>
      <x:c r="G6" s="63" t="str"/>
      <x:c r="H6" s="2"/>
      <x:c r="I6" s="2"/>
      <x:c r="J6" s="2"/>
      <x:c r="K6" s="2"/>
    </x:row>
    <x:row r="7" ht="22" customHeight="1">
      <x:c r="A7" s="64" t="str">
        <x:v>Asiacell</x:v>
      </x:c>
      <x:c r="B7" s="64" t="str">
        <x:v>资产=负债+权益</x:v>
      </x:c>
      <x:c r="C7" s="114" t="n">
        <x:v>2578014</x:v>
      </x:c>
      <x:c r="D7" s="114" t="n">
        <x:v>2578014</x:v>
      </x:c>
      <x:c r="E7" s="114" t="n">
        <x:v>0</x:v>
      </x:c>
      <x:c r="F7" s="64" t="str">
        <x:v>通过</x:v>
      </x:c>
      <x:c r="G7" s="64" t="str"/>
      <x:c r="H7" s="2"/>
      <x:c r="I7" s="2"/>
      <x:c r="J7" s="2"/>
      <x:c r="K7" s="2"/>
    </x:row>
    <x:row r="8" ht="22" customHeight="1">
      <x:c r="A8" s="64" t="str">
        <x:v>Asiacell</x:v>
      </x:c>
      <x:c r="B8" s="64" t="str">
        <x:v>现金期初+净变动=期末</x:v>
      </x:c>
      <x:c r="C8" s="114" t="n">
        <x:v>362971</x:v>
      </x:c>
      <x:c r="D8" s="114" t="n">
        <x:v>362971</x:v>
      </x:c>
      <x:c r="E8" s="114" t="n">
        <x:v>0</x:v>
      </x:c>
      <x:c r="F8" s="64" t="str">
        <x:v>通过</x:v>
      </x:c>
      <x:c r="G8" s="64" t="str"/>
      <x:c r="H8" s="2"/>
      <x:c r="I8" s="2"/>
      <x:c r="J8" s="2"/>
      <x:c r="K8" s="2"/>
    </x:row>
    <x:row r="9" ht="22" customHeight="1">
      <x:c r="A9" s="64" t="str">
        <x:v>Asiacell</x:v>
      </x:c>
      <x:c r="B9" s="64" t="str">
        <x:v>CFO+投资+融资=现金净变动</x:v>
      </x:c>
      <x:c r="C9" s="114" t="n">
        <x:v>61229</x:v>
      </x:c>
      <x:c r="D9" s="114" t="n">
        <x:v>61229</x:v>
      </x:c>
      <x:c r="E9" s="114" t="n">
        <x:v>0</x:v>
      </x:c>
      <x:c r="F9" s="64" t="str">
        <x:v>通过</x:v>
      </x:c>
      <x:c r="G9" s="64" t="str"/>
      <x:c r="H9" s="2"/>
      <x:c r="I9" s="2"/>
      <x:c r="J9" s="2"/>
      <x:c r="K9" s="2"/>
    </x:row>
    <x:row r="10" ht="22" customHeight="1">
      <x:c r="A10" s="64" t="str">
        <x:v>Zain Iraq</x:v>
      </x:c>
      <x:c r="B10" s="64" t="str">
        <x:v>资产构成加总</x:v>
      </x:c>
      <x:c r="C10" s="114" t="n">
        <x:v>4345629</x:v>
      </x:c>
      <x:c r="D10" s="114" t="n">
        <x:v>4345629</x:v>
      </x:c>
      <x:c r="E10" s="114" t="n">
        <x:v>0</x:v>
      </x:c>
      <x:c r="F10" s="64" t="str">
        <x:v>通过</x:v>
      </x:c>
      <x:c r="G10" s="64" t="str"/>
      <x:c r="H10" s="2"/>
      <x:c r="I10" s="2"/>
      <x:c r="J10" s="2"/>
      <x:c r="K10" s="2"/>
    </x:row>
    <x:row r="11" ht="22" customHeight="1">
      <x:c r="A11" s="64" t="str">
        <x:v>Zain Iraq</x:v>
      </x:c>
      <x:c r="B11" s="64" t="str">
        <x:v>资产=负债+权益</x:v>
      </x:c>
      <x:c r="C11" s="114" t="n">
        <x:v>4345629</x:v>
      </x:c>
      <x:c r="D11" s="114" t="n">
        <x:v>4345629</x:v>
      </x:c>
      <x:c r="E11" s="114" t="n">
        <x:v>0</x:v>
      </x:c>
      <x:c r="F11" s="64" t="str">
        <x:v>通过</x:v>
      </x:c>
      <x:c r="G11" s="64" t="str"/>
      <x:c r="H11" s="2"/>
      <x:c r="I11" s="2"/>
      <x:c r="J11" s="2"/>
      <x:c r="K11" s="2"/>
    </x:row>
    <x:row r="12" ht="22" customHeight="1">
      <x:c r="A12" s="64" t="str">
        <x:v>Zain Iraq</x:v>
      </x:c>
      <x:c r="B12" s="64" t="str">
        <x:v>现金期初+净变动=期末</x:v>
      </x:c>
      <x:c r="C12" s="114" t="n">
        <x:v>139867</x:v>
      </x:c>
      <x:c r="D12" s="114" t="n">
        <x:v>139867</x:v>
      </x:c>
      <x:c r="E12" s="114" t="n">
        <x:v>0</x:v>
      </x:c>
      <x:c r="F12" s="64" t="str">
        <x:v>通过</x:v>
      </x:c>
      <x:c r="G12" s="64" t="str"/>
      <x:c r="H12" s="2"/>
      <x:c r="I12" s="2"/>
      <x:c r="J12" s="2"/>
      <x:c r="K12" s="2"/>
    </x:row>
    <x:row r="13" ht="22" customHeight="1">
      <x:c r="A13" s="65" t="str">
        <x:v>Zain Iraq</x:v>
      </x:c>
      <x:c r="B13" s="65" t="str">
        <x:v>CFO+投资+融资=现金净变动</x:v>
      </x:c>
      <x:c r="C13" s="115" t="n">
        <x:v>-16583</x:v>
      </x:c>
      <x:c r="D13" s="115" t="n">
        <x:v>-16583</x:v>
      </x:c>
      <x:c r="E13" s="115" t="n">
        <x:v>0</x:v>
      </x:c>
      <x:c r="F13" s="65" t="str">
        <x:v>通过</x:v>
      </x:c>
      <x:c r="G13" s="65" t="str"/>
      <x:c r="H13" s="2"/>
      <x:c r="I13" s="2"/>
      <x:c r="J13" s="2"/>
      <x:c r="K13" s="2"/>
    </x:row>
    <x:row r="14" ht="22" customHeight="1">
      <x:c r="A14" s="100"/>
      <x:c r="B14" s="100"/>
      <x:c r="C14" s="100"/>
      <x:c r="D14" s="100"/>
      <x:c r="E14" s="100"/>
      <x:c r="F14" s="100"/>
      <x:c r="G14" s="100"/>
      <x:c r="H14" s="2"/>
      <x:c r="I14" s="2"/>
      <x:c r="J14" s="2"/>
      <x:c r="K14" s="2"/>
    </x:row>
    <x:row r="15" ht="22" customHeight="1">
      <x:c r="A15" s="100"/>
      <x:c r="B15" s="100"/>
      <x:c r="C15" s="100"/>
      <x:c r="D15" s="100"/>
      <x:c r="E15" s="100"/>
      <x:c r="F15" s="100"/>
      <x:c r="G15" s="100"/>
      <x:c r="H15" s="2"/>
      <x:c r="I15" s="2"/>
      <x:c r="J15" s="2"/>
      <x:c r="K15" s="2"/>
    </x:row>
    <x:row r="16" ht="38" customHeight="1">
      <x:c r="A16" s="121" t="str">
        <x:v>隐私与安全：默认不保存整页OCR文字，不打包扫描PDF，不调用云端OCR，也不需要API Key。输出只保留财务科目证据。</x:v>
      </x:c>
      <x:c r="B16" s="100"/>
      <x:c r="C16" s="100"/>
      <x:c r="D16" s="100"/>
      <x:c r="E16" s="100"/>
      <x:c r="F16" s="100"/>
      <x:c r="G16" s="100"/>
      <x:c r="H16" s="2"/>
      <x:c r="I16" s="2"/>
      <x:c r="J16" s="2"/>
      <x:c r="K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2:G2"/>
    <x:mergeCell ref="A3:G3"/>
    <x:mergeCell ref="A16:G16"/>
  </x:mergeCells>
  <x:conditionalFormatting sqref="F6:F13">
    <x:cfRule type="containsText" dxfId="14" priority="1" operator="containsText" text="通过"/>
  </x:conditionalFormatting>
  <x:pageMargins left="0.7" right="0.7" top="0.75" bottom="0.75" header="0.3" footer="0.3"/>
</x:worksheet>
</file>